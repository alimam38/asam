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alima\Downloads\"/>
    </mc:Choice>
  </mc:AlternateContent>
  <xr:revisionPtr revIDLastSave="0" documentId="13_ncr:1_{0661AC1E-C4C7-4BE2-9118-E208EA56765C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Summary Budget" sheetId="1" r:id="rId1"/>
    <sheet name="Line-Item Budget" sheetId="2" r:id="rId2"/>
    <sheet name="Budget Narrative" sheetId="3" r:id="rId3"/>
    <sheet name="Assumptions" sheetId="4" r:id="rId4"/>
    <sheet name="Formula Checks" sheetId="5" r:id="rId5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9" i="2" l="1"/>
  <c r="F19" i="2"/>
  <c r="G19" i="2"/>
  <c r="C19" i="2"/>
  <c r="D18" i="2"/>
  <c r="E18" i="2"/>
  <c r="E19" i="2" s="1"/>
  <c r="F18" i="2"/>
  <c r="G18" i="2"/>
  <c r="H6" i="2"/>
  <c r="H7" i="2"/>
  <c r="H8" i="2"/>
  <c r="H9" i="2"/>
  <c r="H10" i="2"/>
  <c r="H11" i="2"/>
  <c r="H12" i="2"/>
  <c r="H13" i="2"/>
  <c r="H14" i="2"/>
  <c r="H15" i="2"/>
  <c r="H16" i="2"/>
  <c r="H17" i="2"/>
  <c r="E25" i="1"/>
  <c r="B25" i="1"/>
  <c r="G17" i="1"/>
  <c r="C7" i="5"/>
  <c r="G20" i="4"/>
  <c r="F20" i="4"/>
  <c r="E20" i="4"/>
  <c r="D20" i="4"/>
  <c r="C20" i="4"/>
  <c r="H17" i="4"/>
  <c r="H14" i="4"/>
  <c r="C18" i="2"/>
  <c r="G6" i="2"/>
  <c r="F6" i="2"/>
  <c r="E6" i="2"/>
  <c r="D6" i="2"/>
  <c r="C6" i="2"/>
  <c r="H5" i="2"/>
  <c r="G28" i="1"/>
  <c r="E24" i="1"/>
  <c r="G23" i="1"/>
  <c r="G22" i="1"/>
  <c r="G21" i="1"/>
  <c r="G20" i="1"/>
  <c r="G19" i="1"/>
  <c r="G18" i="1"/>
  <c r="G16" i="1"/>
  <c r="G15" i="1"/>
  <c r="G14" i="1"/>
  <c r="G13" i="1"/>
  <c r="F12" i="1"/>
  <c r="F7" i="5" s="1"/>
  <c r="E12" i="1"/>
  <c r="E7" i="5" s="1"/>
  <c r="D12" i="1"/>
  <c r="D24" i="1" s="1"/>
  <c r="D25" i="1" s="1"/>
  <c r="C12" i="1"/>
  <c r="C24" i="1" s="1"/>
  <c r="C25" i="1" s="1"/>
  <c r="B12" i="1"/>
  <c r="B7" i="5" s="1"/>
  <c r="G11" i="1"/>
  <c r="F8" i="1"/>
  <c r="E8" i="1"/>
  <c r="D8" i="1"/>
  <c r="C8" i="1"/>
  <c r="B8" i="1"/>
  <c r="G7" i="1"/>
  <c r="E5" i="5" l="1"/>
  <c r="H18" i="2"/>
  <c r="G20" i="2"/>
  <c r="F20" i="2"/>
  <c r="H20" i="4"/>
  <c r="F24" i="1"/>
  <c r="G8" i="1"/>
  <c r="G6" i="5" s="1"/>
  <c r="D7" i="5"/>
  <c r="G12" i="1"/>
  <c r="G7" i="5" s="1"/>
  <c r="C5" i="5"/>
  <c r="C26" i="1"/>
  <c r="C4" i="5" s="1"/>
  <c r="D5" i="5"/>
  <c r="E26" i="1"/>
  <c r="E4" i="5" s="1"/>
  <c r="E20" i="2"/>
  <c r="B24" i="1"/>
  <c r="D26" i="1"/>
  <c r="D4" i="5" s="1"/>
  <c r="D20" i="2"/>
  <c r="H19" i="2" l="1"/>
  <c r="F5" i="5"/>
  <c r="F25" i="1"/>
  <c r="F26" i="1" s="1"/>
  <c r="F4" i="5" s="1"/>
  <c r="B5" i="5"/>
  <c r="G24" i="1"/>
  <c r="G5" i="5" s="1"/>
  <c r="C20" i="2"/>
  <c r="H20" i="2" s="1"/>
  <c r="G25" i="1" l="1"/>
  <c r="B26" i="1"/>
  <c r="G26" i="1" l="1"/>
  <c r="G4" i="5" s="1"/>
  <c r="B4" i="5"/>
</calcChain>
</file>

<file path=xl/sharedStrings.xml><?xml version="1.0" encoding="utf-8"?>
<sst xmlns="http://schemas.openxmlformats.org/spreadsheetml/2006/main" count="195" uniqueCount="132">
  <si>
    <t>TURNER THEOLOGICAL SEMINARY</t>
  </si>
  <si>
    <t>Lilly Endowment — Exploring Christian Practices Initiative</t>
  </si>
  <si>
    <t>SUMMARY BUDGET | Pathway-Aligned Strategic Taper | Grant Request: $2,200,000 | Five-Year Period 2026–2030</t>
  </si>
  <si>
    <t>Budget Category / Line Item</t>
  </si>
  <si>
    <t>2026</t>
  </si>
  <si>
    <t>2027</t>
  </si>
  <si>
    <t>2028</t>
  </si>
  <si>
    <t>2029</t>
  </si>
  <si>
    <t>2030</t>
  </si>
  <si>
    <t>TOTAL</t>
  </si>
  <si>
    <t>INCOME</t>
  </si>
  <si>
    <t>Lilly Endowment Grant</t>
  </si>
  <si>
    <t>TOTAL INCOME</t>
  </si>
  <si>
    <t>EXPENSES</t>
  </si>
  <si>
    <t>Personnel &amp; Leadership Support</t>
  </si>
  <si>
    <t>Fringe Benefits (20% of Personnel)</t>
  </si>
  <si>
    <t>Calling Pathway Support (JLWLA)</t>
  </si>
  <si>
    <t>Care Pathway Support (Sankofa CPE LLC)</t>
  </si>
  <si>
    <t>Community Pathway Support (Salvation &amp; Social Justice)</t>
  </si>
  <si>
    <t>Renewal Pathway Support (TLCH)</t>
  </si>
  <si>
    <t>Retreats, Cohorts &amp; Community Engagement</t>
  </si>
  <si>
    <t>Shared Formation &amp; Participant Engagement Activities</t>
  </si>
  <si>
    <t>Communications &amp; Dissemination</t>
  </si>
  <si>
    <t>Evaluation &amp; Assessment</t>
  </si>
  <si>
    <t>Sustainability &amp; Replication</t>
  </si>
  <si>
    <t>Technology &amp; Hybrid Infrastructure</t>
  </si>
  <si>
    <t>DIRECT COSTS SUBTOTAL</t>
  </si>
  <si>
    <t>Indirect Costs (difference to grant request; approximately 5% of direct costs)</t>
  </si>
  <si>
    <t>TOTAL EXPENSES</t>
  </si>
  <si>
    <t>IN-KIND COST-SHARE (Institutional Leadership, Facilities, Administrative Infrastructure — NOT charged to grant)</t>
  </si>
  <si>
    <t>Strategic Budget Notes</t>
  </si>
  <si>
    <t>The budget intentionally tapers during Years 4–5 to demonstrate long-term institutional sustainability and reduced dependency on grant funding.</t>
  </si>
  <si>
    <t>Budget categories directly reinforce the four pathways of formation: Calling, Care, Community, and Renewal.</t>
  </si>
  <si>
    <t>The final two years emphasize institutional integration, sustainability, evaluation, and replication rather than permanent grant dependence.</t>
  </si>
  <si>
    <t>TURNER THEOLOGICAL SEMINARY — LINE-ITEM BUDGET</t>
  </si>
  <si>
    <t>Lilly Endowment — Exploring Christian Practices Initiative | Formula-Driven Budget Detail</t>
  </si>
  <si>
    <t>Category / Line Item</t>
  </si>
  <si>
    <t>Budget Basis / Notes</t>
  </si>
  <si>
    <t>Grant-funded portion of project personnel and leadership support; tapers in later years as institutional integration increases.</t>
  </si>
  <si>
    <t>Calculated at 20% of Personnel &amp; Leadership Support.</t>
  </si>
  <si>
    <t>Calling pathway: women in ministry cohorts, mentoring, discernment retreats, prayer and scripture-reflection activities.</t>
  </si>
  <si>
    <t>Care pathway: pastoral listening, trauma-informed spiritual care, grief accompaniment, and reflective ministry formation.</t>
  </si>
  <si>
    <t>Community pathway: reconciliation circles, civic compassion, justice-centered engagement, and faith-rooted public witness.</t>
  </si>
  <si>
    <t>Renewal pathway: coaching cohorts, sabbath practices, wellness retreats, accountability circles, and leadership renewal.</t>
  </si>
  <si>
    <t>Residential and community-based formation experiences, cohort convenings, participant gatherings, and contextual engagement.</t>
  </si>
  <si>
    <t>Cross-pathway participant materials, facilitator resources, shared spiritual practice resources, and formation supports.</t>
  </si>
  <si>
    <t>Digital engagement, storytelling, webinars, participant testimonials, program updates, and dissemination materials.</t>
  </si>
  <si>
    <t>Formative and summative assessment, surveys, focus groups, data analysis, reporting, and continuous improvement.</t>
  </si>
  <si>
    <t>Replication toolkit, fundraising readiness, advancement integration, sustainability planning, and post-grant transition.</t>
  </si>
  <si>
    <t>Hybrid learning systems, digital participant engagement tools, data/reporting supports, and online access infrastructure.</t>
  </si>
  <si>
    <t>Formula sum of all direct cost line items.</t>
  </si>
  <si>
    <t>Indirect Costs</t>
  </si>
  <si>
    <t>Calculated as the amount required to reconcile total expenses to the grant request by year; approximately 5% of direct costs.</t>
  </si>
  <si>
    <t>TOTAL GRANT EXPENSES</t>
  </si>
  <si>
    <t>Direct costs plus indirect costs.</t>
  </si>
  <si>
    <t>TURNER THEOLOGICAL SEMINARY — BUDGET NARRATIVE</t>
  </si>
  <si>
    <t>Lilly Endowment — Exploring Christian Practices Initiative | Grant Request: $2,200,000</t>
  </si>
  <si>
    <t>Budget Category</t>
  </si>
  <si>
    <t>Narrative Justification</t>
  </si>
  <si>
    <t>Alignment to Proposal</t>
  </si>
  <si>
    <t>Sustainability / Taper Rationale</t>
  </si>
  <si>
    <t>Supports grant-funded portions of leadership, coordination, program management, engagement, and implementation needed to carry out the four-pathway model.</t>
  </si>
  <si>
    <t>Provides operational capacity for Calling, Care, Community, and Renewal pathway implementation.</t>
  </si>
  <si>
    <t>Personnel costs taper in later years as institutional support, partner systems, and ongoing operations absorb more functions.</t>
  </si>
  <si>
    <t>Fringe Benefits</t>
  </si>
  <si>
    <t>Calculated at 20% of personnel support to reflect benefits-related costs associated with grant-supported staff time.</t>
  </si>
  <si>
    <t>Ensures personnel support is budgeted realistically and responsibly.</t>
  </si>
  <si>
    <t>Fringe tapers automatically with personnel through formula-driven calculations.</t>
  </si>
  <si>
    <t>Supports women in ministry cohorts, mentoring, vocational discernment, retreats, prayer practices, scripture reflection, and leadership formation activities.</t>
  </si>
  <si>
    <t>Directly funds the Calling pathway and reinforces the proposal’s focus on vocation, discernment, and women’s leadership formation.</t>
  </si>
  <si>
    <t>Costs taper as cohort models are established and integrated into Turner’s ongoing formation infrastructure.</t>
  </si>
  <si>
    <t>Supports trauma-informed spiritual care, pastoral listening, grief accompaniment, theological reflection, community-based care training, and wellness workshops.</t>
  </si>
  <si>
    <t>Directly funds the Care pathway and strengthens the partnership with Sankofa CPE LLC.</t>
  </si>
  <si>
    <t>Costs taper as training models and partner protocols are established for ongoing use.</t>
  </si>
  <si>
    <t>Supports reconciliation circles, civic compassion work, justice-centered engagement, testimony and story-sharing, and faith-rooted public witness.</t>
  </si>
  <si>
    <t>Directly funds the Community pathway and strengthens the partnership with Salvation and Social Justice.</t>
  </si>
  <si>
    <t>Costs taper as community engagement models and shared partner infrastructure mature.</t>
  </si>
  <si>
    <t>Supports coaching cohorts, sabbath practices, wellness retreats, guided reflection, accountability circles, prayer partnerships, and leadership renewal activities.</t>
  </si>
  <si>
    <t>Directly funds the Renewal pathway and balances investment with the Calling pathway to underscore renewal as a core element of the Turner Model.</t>
  </si>
  <si>
    <t>Costs taper as TLCH becomes embedded in Turner’s ongoing leadership development and coaching framework.</t>
  </si>
  <si>
    <t>Supports residential formation experiences, cohort gatherings, community-based engagement, retreats, participant convenings, and formation settings inside and outside congregational contexts.</t>
  </si>
  <si>
    <t>Responds to Lilly’s emphasis on multiplying opportunities and expanding access to settings where individuals can explore Christian practices.</t>
  </si>
  <si>
    <t>Costs taper as Turner institutionalizes the cohort and retreat model and leverages partner sites.</t>
  </si>
  <si>
    <t>Supports cross-pathway materials, facilitator resources, shared participant supports, formation guides, and engagement tools used across the initiative.</t>
  </si>
  <si>
    <t>Provides flexible support for integrated participant experience without duplicating pathway-specific allocations.</t>
  </si>
  <si>
    <t>Reduced relative to pathway categories to keep the budget aligned with direct pathway implementation.</t>
  </si>
  <si>
    <t>Supports storytelling, digital engagement, webinars, leadership gatherings, program updates, participant testimonials, and dissemination of lessons learned.</t>
  </si>
  <si>
    <t>Aligns with the proposal’s communication strategy for sharing insights with churches, ministry leaders, theological educators, and faith-based organizations.</t>
  </si>
  <si>
    <t>Costs taper as communication tools and templates are developed and integrated into institutional channels.</t>
  </si>
  <si>
    <t>Supports formative and summative evaluation, participant surveys, focus groups, stakeholder feedback, retention tracking, attendance data, survey analysis, program completion measures, and reporting.</t>
  </si>
  <si>
    <t>Aligns with the proposal’s evaluation plan and supports data-driven decision-making, continuous improvement, and replication.</t>
  </si>
  <si>
    <t>Evaluation investment shifts toward summative assessment and final reporting during the last two years.</t>
  </si>
  <si>
    <t>Supports replication toolkit development, sustainability planning, advancement integration, fundraising readiness, partner transition planning, and post-grant continuation efforts.</t>
  </si>
  <si>
    <t>Aligns with the proposal’s commitment to institutional integration and long-term replication beyond the grant period.</t>
  </si>
  <si>
    <t>This line increases over time to demonstrate intentional transition from launch funding to sustainability infrastructure.</t>
  </si>
  <si>
    <t>Supports hybrid learning tools, online access, participant engagement systems, reporting infrastructure, and technology needed for distributed program delivery.</t>
  </si>
  <si>
    <t>Supports access across residential, hybrid, coaching, clinical, and community-based settings.</t>
  </si>
  <si>
    <t>Technology costs taper as infrastructure is established and absorbed by institutional systems.</t>
  </si>
  <si>
    <t>Supports allowable administrative and institutional costs associated with managing the grant.</t>
  </si>
  <si>
    <t>Ensures responsible grant administration without overbuilding overhead.</t>
  </si>
  <si>
    <t>Kept modest and formula-driven to emphasize stewardship and maximize programmatic investment.</t>
  </si>
  <si>
    <t>BUDGET ASSUMPTIONS</t>
  </si>
  <si>
    <t>Assumption</t>
  </si>
  <si>
    <t>Value / Basis</t>
  </si>
  <si>
    <t>Grant Request</t>
  </si>
  <si>
    <t>$2,200,000 over five years</t>
  </si>
  <si>
    <t>Grant Period</t>
  </si>
  <si>
    <t>2026–2030</t>
  </si>
  <si>
    <t>Budget Strategy</t>
  </si>
  <si>
    <t>Strategic taper: higher launch investment, lower end-of-grant dependency</t>
  </si>
  <si>
    <t>Fringe Rate</t>
  </si>
  <si>
    <t>20% of Personnel &amp; Leadership Support</t>
  </si>
  <si>
    <t>Indirect Cost Method</t>
  </si>
  <si>
    <t>Reconciles annual total expenses to annual grant request; approximately 5% of direct costs</t>
  </si>
  <si>
    <t>Pathway Structure</t>
  </si>
  <si>
    <t>Calling, Care, Community, Renewal</t>
  </si>
  <si>
    <t>Sustainability Strategy</t>
  </si>
  <si>
    <t>Institutional integration, advancement, partner infrastructure, replication toolkit</t>
  </si>
  <si>
    <t>In-kind Support</t>
  </si>
  <si>
    <t>Institutional leadership, facilities, operations, administrative infrastructure</t>
  </si>
  <si>
    <t>Annual Grant Request</t>
  </si>
  <si>
    <t>Direct Cost Target</t>
  </si>
  <si>
    <t>Direct Costs</t>
  </si>
  <si>
    <t>Indirect Cost Target</t>
  </si>
  <si>
    <t>FORMULA CHECKS</t>
  </si>
  <si>
    <t>Check</t>
  </si>
  <si>
    <t>Income equals total expenses</t>
  </si>
  <si>
    <t>Summary direct costs = line-item direct costs</t>
  </si>
  <si>
    <t>Summary total = $2.2M</t>
  </si>
  <si>
    <t>Fringe equals 20% of personnel</t>
  </si>
  <si>
    <t>Program Leadership</t>
  </si>
  <si>
    <t>Sixth Episcopal District Congregational Engagement Support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</si>
</sst>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\$#,##0"/>
    <numFmt numFmtId="165" formatCode="\$#,##0;[Red]\(\$#,##0\);\-"/>
    <numFmt numFmtId="169" formatCode="_(&quot;$&quot;* #,##0_);_(&quot;$&quot;* \(#,##0\);_(&quot;$&quot;* &quot;-&quot;??_);_(@_)"/>
  </numFmts>
  <fonts count="5" x14ac:knownFonts="1">
    <font>
      <sz val="11"/>
      <name val="Carlito"/>
    </font>
    <font>
      <b/>
      <sz val="14"/>
      <color rgb="FFFFFFFF"/>
      <name val="Carlito"/>
    </font>
    <font>
      <b/>
      <sz val="11"/>
      <name val="Carlito"/>
    </font>
    <font>
      <b/>
      <sz val="11"/>
      <color rgb="FF000000"/>
      <name val="Carlito"/>
    </font>
    <font>
      <sz val="8"/>
      <name val="Carlito"/>
    </font>
  </fonts>
  <fills count="8">
    <fill>
      <patternFill patternType="none"/>
    </fill>
    <fill>
      <patternFill patternType="gray125"/>
    </fill>
    <fill>
      <patternFill patternType="solid">
        <fgColor rgb="FF5A2D91"/>
      </patternFill>
    </fill>
    <fill>
      <patternFill patternType="solid">
        <fgColor rgb="FFEDE7F6"/>
      </patternFill>
    </fill>
    <fill>
      <patternFill patternType="solid">
        <fgColor rgb="FFC9A22B"/>
      </patternFill>
    </fill>
    <fill>
      <patternFill patternType="solid">
        <fgColor rgb="FFF3F4F6"/>
      </patternFill>
    </fill>
    <fill>
      <patternFill patternType="solid">
        <fgColor rgb="FFF7E8B3"/>
      </patternFill>
    </fill>
    <fill>
      <patternFill patternType="solid">
        <fgColor theme="8" tint="0.79998168889431442"/>
        <bgColor indexed="64"/>
      </patternFill>
    </fill>
  </fills>
  <borders count="11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58">
    <xf numFmtId="0" fontId="0" fillId="0" borderId="0" xfId="0"/>
    <xf numFmtId="0" fontId="0" fillId="0" borderId="0" xfId="0" applyAlignment="1">
      <alignment wrapText="1"/>
    </xf>
    <xf numFmtId="0" fontId="3" fillId="4" borderId="1" xfId="0" applyFont="1" applyFill="1" applyBorder="1" applyAlignment="1">
      <alignment horizontal="center" wrapText="1"/>
    </xf>
    <xf numFmtId="0" fontId="3" fillId="4" borderId="2" xfId="0" applyFont="1" applyFill="1" applyBorder="1" applyAlignment="1">
      <alignment horizontal="center" wrapText="1"/>
    </xf>
    <xf numFmtId="0" fontId="3" fillId="4" borderId="3" xfId="0" applyFont="1" applyFill="1" applyBorder="1" applyAlignment="1">
      <alignment horizontal="center" wrapText="1"/>
    </xf>
    <xf numFmtId="0" fontId="2" fillId="5" borderId="4" xfId="0" applyFont="1" applyFill="1" applyBorder="1" applyAlignment="1">
      <alignment wrapText="1"/>
    </xf>
    <xf numFmtId="0" fontId="2" fillId="5" borderId="5" xfId="0" applyFont="1" applyFill="1" applyBorder="1" applyAlignment="1">
      <alignment wrapText="1"/>
    </xf>
    <xf numFmtId="0" fontId="2" fillId="5" borderId="6" xfId="0" applyFont="1" applyFill="1" applyBorder="1" applyAlignment="1">
      <alignment wrapText="1"/>
    </xf>
    <xf numFmtId="0" fontId="0" fillId="0" borderId="4" xfId="0" applyBorder="1" applyAlignment="1">
      <alignment wrapText="1"/>
    </xf>
    <xf numFmtId="164" fontId="0" fillId="0" borderId="5" xfId="0" applyNumberFormat="1" applyBorder="1" applyAlignment="1">
      <alignment wrapText="1"/>
    </xf>
    <xf numFmtId="164" fontId="0" fillId="0" borderId="6" xfId="0" applyNumberFormat="1" applyBorder="1" applyAlignment="1">
      <alignment wrapText="1"/>
    </xf>
    <xf numFmtId="0" fontId="2" fillId="6" borderId="4" xfId="0" applyFont="1" applyFill="1" applyBorder="1" applyAlignment="1">
      <alignment wrapText="1"/>
    </xf>
    <xf numFmtId="164" fontId="2" fillId="6" borderId="5" xfId="0" applyNumberFormat="1" applyFont="1" applyFill="1" applyBorder="1" applyAlignment="1">
      <alignment wrapText="1"/>
    </xf>
    <xf numFmtId="164" fontId="2" fillId="6" borderId="6" xfId="0" applyNumberFormat="1" applyFont="1" applyFill="1" applyBorder="1" applyAlignment="1">
      <alignment wrapText="1"/>
    </xf>
    <xf numFmtId="0" fontId="2" fillId="3" borderId="7" xfId="0" applyFont="1" applyFill="1" applyBorder="1" applyAlignment="1">
      <alignment wrapText="1"/>
    </xf>
    <xf numFmtId="164" fontId="2" fillId="3" borderId="8" xfId="0" applyNumberFormat="1" applyFont="1" applyFill="1" applyBorder="1" applyAlignment="1">
      <alignment wrapText="1"/>
    </xf>
    <xf numFmtId="164" fontId="2" fillId="3" borderId="9" xfId="0" applyNumberFormat="1" applyFont="1" applyFill="1" applyBorder="1" applyAlignment="1">
      <alignment wrapText="1"/>
    </xf>
    <xf numFmtId="0" fontId="0" fillId="0" borderId="5" xfId="0" applyBorder="1" applyAlignment="1">
      <alignment wrapText="1"/>
    </xf>
    <xf numFmtId="0" fontId="2" fillId="6" borderId="5" xfId="0" applyFont="1" applyFill="1" applyBorder="1" applyAlignment="1">
      <alignment wrapText="1"/>
    </xf>
    <xf numFmtId="0" fontId="2" fillId="6" borderId="7" xfId="0" applyFont="1" applyFill="1" applyBorder="1" applyAlignment="1">
      <alignment wrapText="1"/>
    </xf>
    <xf numFmtId="0" fontId="2" fillId="6" borderId="8" xfId="0" applyFont="1" applyFill="1" applyBorder="1" applyAlignment="1">
      <alignment wrapText="1"/>
    </xf>
    <xf numFmtId="164" fontId="2" fillId="6" borderId="8" xfId="0" applyNumberFormat="1" applyFont="1" applyFill="1" applyBorder="1" applyAlignment="1">
      <alignment wrapText="1"/>
    </xf>
    <xf numFmtId="164" fontId="2" fillId="6" borderId="9" xfId="0" applyNumberFormat="1" applyFont="1" applyFill="1" applyBorder="1" applyAlignment="1">
      <alignment wrapText="1"/>
    </xf>
    <xf numFmtId="0" fontId="0" fillId="0" borderId="6" xfId="0" applyBorder="1" applyAlignment="1">
      <alignment wrapText="1"/>
    </xf>
    <xf numFmtId="0" fontId="0" fillId="0" borderId="7" xfId="0" applyBorder="1" applyAlignment="1">
      <alignment wrapText="1"/>
    </xf>
    <xf numFmtId="0" fontId="0" fillId="0" borderId="8" xfId="0" applyBorder="1" applyAlignment="1">
      <alignment wrapText="1"/>
    </xf>
    <xf numFmtId="0" fontId="0" fillId="0" borderId="9" xfId="0" applyBorder="1" applyAlignment="1">
      <alignment wrapText="1"/>
    </xf>
    <xf numFmtId="0" fontId="0" fillId="0" borderId="10" xfId="0" applyBorder="1" applyAlignment="1">
      <alignment wrapText="1"/>
    </xf>
    <xf numFmtId="0" fontId="3" fillId="4" borderId="4" xfId="0" applyFont="1" applyFill="1" applyBorder="1" applyAlignment="1">
      <alignment horizontal="center" wrapText="1"/>
    </xf>
    <xf numFmtId="0" fontId="3" fillId="4" borderId="5" xfId="0" applyFont="1" applyFill="1" applyBorder="1" applyAlignment="1">
      <alignment horizontal="center" wrapText="1"/>
    </xf>
    <xf numFmtId="0" fontId="3" fillId="4" borderId="6" xfId="0" applyFont="1" applyFill="1" applyBorder="1" applyAlignment="1">
      <alignment horizontal="center" wrapText="1"/>
    </xf>
    <xf numFmtId="164" fontId="3" fillId="4" borderId="5" xfId="0" applyNumberFormat="1" applyFont="1" applyFill="1" applyBorder="1" applyAlignment="1">
      <alignment horizontal="center" wrapText="1"/>
    </xf>
    <xf numFmtId="164" fontId="3" fillId="4" borderId="6" xfId="0" applyNumberFormat="1" applyFont="1" applyFill="1" applyBorder="1" applyAlignment="1">
      <alignment horizontal="center" wrapText="1"/>
    </xf>
    <xf numFmtId="164" fontId="0" fillId="0" borderId="8" xfId="0" applyNumberFormat="1" applyBorder="1" applyAlignment="1">
      <alignment wrapText="1"/>
    </xf>
    <xf numFmtId="164" fontId="0" fillId="0" borderId="9" xfId="0" applyNumberFormat="1" applyBorder="1" applyAlignment="1">
      <alignment wrapText="1"/>
    </xf>
    <xf numFmtId="164" fontId="0" fillId="0" borderId="10" xfId="0" applyNumberFormat="1" applyBorder="1" applyAlignment="1">
      <alignment wrapText="1"/>
    </xf>
    <xf numFmtId="165" fontId="0" fillId="0" borderId="5" xfId="0" applyNumberFormat="1" applyBorder="1" applyAlignment="1">
      <alignment wrapText="1"/>
    </xf>
    <xf numFmtId="165" fontId="0" fillId="0" borderId="6" xfId="0" applyNumberFormat="1" applyBorder="1" applyAlignment="1">
      <alignment wrapText="1"/>
    </xf>
    <xf numFmtId="165" fontId="0" fillId="0" borderId="8" xfId="0" applyNumberFormat="1" applyBorder="1" applyAlignment="1">
      <alignment wrapText="1"/>
    </xf>
    <xf numFmtId="165" fontId="0" fillId="0" borderId="9" xfId="0" applyNumberFormat="1" applyBorder="1" applyAlignment="1">
      <alignment wrapText="1"/>
    </xf>
    <xf numFmtId="0" fontId="1" fillId="2" borderId="0" xfId="0" applyFont="1" applyFill="1" applyAlignment="1">
      <alignment horizontal="center" wrapText="1"/>
    </xf>
    <xf numFmtId="0" fontId="2" fillId="3" borderId="0" xfId="0" applyFont="1" applyFill="1" applyAlignment="1">
      <alignment horizontal="center" wrapText="1"/>
    </xf>
    <xf numFmtId="0" fontId="2" fillId="5" borderId="0" xfId="0" applyFont="1" applyFill="1" applyAlignment="1">
      <alignment wrapText="1"/>
    </xf>
    <xf numFmtId="0" fontId="0" fillId="0" borderId="0" xfId="0" applyAlignment="1">
      <alignment wrapText="1"/>
    </xf>
    <xf numFmtId="0" fontId="3" fillId="4" borderId="10" xfId="0" applyFont="1" applyFill="1" applyBorder="1" applyAlignment="1">
      <alignment horizontal="center" wrapText="1"/>
    </xf>
    <xf numFmtId="0" fontId="0" fillId="0" borderId="0" xfId="0" applyFill="1" applyAlignment="1">
      <alignment wrapText="1"/>
    </xf>
    <xf numFmtId="0" fontId="0" fillId="0" borderId="0" xfId="0" applyFill="1"/>
    <xf numFmtId="0" fontId="0" fillId="7" borderId="4" xfId="0" applyFill="1" applyBorder="1" applyAlignment="1">
      <alignment wrapText="1"/>
    </xf>
    <xf numFmtId="0" fontId="0" fillId="7" borderId="10" xfId="0" applyFill="1" applyBorder="1" applyAlignment="1">
      <alignment wrapText="1"/>
    </xf>
    <xf numFmtId="169" fontId="0" fillId="0" borderId="5" xfId="0" applyNumberFormat="1" applyBorder="1" applyAlignment="1">
      <alignment wrapText="1"/>
    </xf>
    <xf numFmtId="169" fontId="0" fillId="0" borderId="6" xfId="0" applyNumberFormat="1" applyBorder="1" applyAlignment="1">
      <alignment wrapText="1"/>
    </xf>
    <xf numFmtId="169" fontId="2" fillId="5" borderId="5" xfId="0" applyNumberFormat="1" applyFont="1" applyFill="1" applyBorder="1" applyAlignment="1">
      <alignment wrapText="1"/>
    </xf>
    <xf numFmtId="169" fontId="2" fillId="5" borderId="6" xfId="0" applyNumberFormat="1" applyFont="1" applyFill="1" applyBorder="1" applyAlignment="1">
      <alignment wrapText="1"/>
    </xf>
    <xf numFmtId="169" fontId="0" fillId="7" borderId="5" xfId="0" applyNumberFormat="1" applyFill="1" applyBorder="1" applyAlignment="1">
      <alignment wrapText="1"/>
    </xf>
    <xf numFmtId="169" fontId="0" fillId="7" borderId="6" xfId="0" applyNumberFormat="1" applyFill="1" applyBorder="1" applyAlignment="1">
      <alignment wrapText="1"/>
    </xf>
    <xf numFmtId="169" fontId="0" fillId="7" borderId="10" xfId="0" applyNumberFormat="1" applyFill="1" applyBorder="1" applyAlignment="1">
      <alignment wrapText="1"/>
    </xf>
    <xf numFmtId="169" fontId="2" fillId="6" borderId="5" xfId="0" applyNumberFormat="1" applyFont="1" applyFill="1" applyBorder="1" applyAlignment="1">
      <alignment wrapText="1"/>
    </xf>
    <xf numFmtId="169" fontId="2" fillId="6" borderId="6" xfId="0" applyNumberFormat="1" applyFont="1" applyFill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61"/>
  <sheetViews>
    <sheetView topLeftCell="A3" zoomScale="120" zoomScaleNormal="120" workbookViewId="0">
      <selection activeCell="H21" sqref="H21"/>
    </sheetView>
  </sheetViews>
  <sheetFormatPr defaultRowHeight="15" x14ac:dyDescent="0.25"/>
  <cols>
    <col min="1" max="1" width="60.75" customWidth="1"/>
    <col min="2" max="2" width="12.5" customWidth="1"/>
    <col min="3" max="3" width="12.25" customWidth="1"/>
    <col min="4" max="4" width="12.5" customWidth="1"/>
    <col min="5" max="6" width="12.375" customWidth="1"/>
    <col min="7" max="7" width="13" customWidth="1"/>
  </cols>
  <sheetData>
    <row r="1" spans="1:8" ht="16.7" customHeight="1" x14ac:dyDescent="0.3">
      <c r="A1" s="40" t="s">
        <v>0</v>
      </c>
      <c r="B1" s="40"/>
      <c r="C1" s="40"/>
      <c r="D1" s="40"/>
      <c r="E1" s="40"/>
      <c r="F1" s="40"/>
      <c r="G1" s="40"/>
      <c r="H1" s="1"/>
    </row>
    <row r="2" spans="1:8" ht="15" customHeight="1" x14ac:dyDescent="0.25">
      <c r="A2" s="41" t="s">
        <v>1</v>
      </c>
      <c r="B2" s="41"/>
      <c r="C2" s="41"/>
      <c r="D2" s="41"/>
      <c r="E2" s="41"/>
      <c r="F2" s="41"/>
      <c r="G2" s="41"/>
      <c r="H2" s="1"/>
    </row>
    <row r="3" spans="1:8" ht="26.45" customHeight="1" x14ac:dyDescent="0.25">
      <c r="A3" s="41" t="s">
        <v>2</v>
      </c>
      <c r="B3" s="41"/>
      <c r="C3" s="41"/>
      <c r="D3" s="41"/>
      <c r="E3" s="41"/>
      <c r="F3" s="41"/>
      <c r="G3" s="41"/>
      <c r="H3" s="1"/>
    </row>
    <row r="4" spans="1:8" ht="15" customHeight="1" x14ac:dyDescent="0.25">
      <c r="A4" s="1"/>
      <c r="B4" s="1"/>
      <c r="C4" s="1"/>
      <c r="D4" s="1"/>
      <c r="E4" s="1"/>
      <c r="F4" s="1"/>
      <c r="G4" s="1"/>
      <c r="H4" s="1"/>
    </row>
    <row r="5" spans="1:8" ht="15" customHeight="1" x14ac:dyDescent="0.25">
      <c r="A5" s="2" t="s">
        <v>3</v>
      </c>
      <c r="B5" s="3" t="s">
        <v>4</v>
      </c>
      <c r="C5" s="3" t="s">
        <v>5</v>
      </c>
      <c r="D5" s="3" t="s">
        <v>6</v>
      </c>
      <c r="E5" s="3" t="s">
        <v>7</v>
      </c>
      <c r="F5" s="3" t="s">
        <v>8</v>
      </c>
      <c r="G5" s="4" t="s">
        <v>9</v>
      </c>
      <c r="H5" s="1"/>
    </row>
    <row r="6" spans="1:8" ht="15" customHeight="1" x14ac:dyDescent="0.25">
      <c r="A6" s="5" t="s">
        <v>10</v>
      </c>
      <c r="B6" s="6"/>
      <c r="C6" s="6"/>
      <c r="D6" s="6"/>
      <c r="E6" s="6"/>
      <c r="F6" s="6"/>
      <c r="G6" s="7"/>
      <c r="H6" s="1"/>
    </row>
    <row r="7" spans="1:8" ht="15" customHeight="1" x14ac:dyDescent="0.25">
      <c r="A7" s="8" t="s">
        <v>11</v>
      </c>
      <c r="B7" s="49">
        <v>500000</v>
      </c>
      <c r="C7" s="49">
        <v>470000</v>
      </c>
      <c r="D7" s="49">
        <v>440000</v>
      </c>
      <c r="E7" s="49">
        <v>405000</v>
      </c>
      <c r="F7" s="49">
        <v>385000</v>
      </c>
      <c r="G7" s="50">
        <f>SUM(B7:F7)</f>
        <v>2200000</v>
      </c>
      <c r="H7" s="1"/>
    </row>
    <row r="8" spans="1:8" ht="15" customHeight="1" x14ac:dyDescent="0.25">
      <c r="A8" s="8" t="s">
        <v>12</v>
      </c>
      <c r="B8" s="49">
        <f>B7</f>
        <v>500000</v>
      </c>
      <c r="C8" s="49">
        <f>C7</f>
        <v>470000</v>
      </c>
      <c r="D8" s="49">
        <f>D7</f>
        <v>440000</v>
      </c>
      <c r="E8" s="49">
        <f>E7</f>
        <v>405000</v>
      </c>
      <c r="F8" s="49">
        <f>F7</f>
        <v>385000</v>
      </c>
      <c r="G8" s="50">
        <f>SUM(B8:F8)</f>
        <v>2200000</v>
      </c>
      <c r="H8" s="1"/>
    </row>
    <row r="9" spans="1:8" ht="15" customHeight="1" x14ac:dyDescent="0.25">
      <c r="A9" s="8"/>
      <c r="B9" s="49"/>
      <c r="C9" s="49"/>
      <c r="D9" s="49"/>
      <c r="E9" s="49"/>
      <c r="F9" s="49"/>
      <c r="G9" s="50"/>
      <c r="H9" s="1"/>
    </row>
    <row r="10" spans="1:8" ht="15" customHeight="1" x14ac:dyDescent="0.25">
      <c r="A10" s="5" t="s">
        <v>13</v>
      </c>
      <c r="B10" s="51"/>
      <c r="C10" s="51"/>
      <c r="D10" s="51"/>
      <c r="E10" s="51"/>
      <c r="F10" s="51"/>
      <c r="G10" s="52"/>
      <c r="H10" s="1"/>
    </row>
    <row r="11" spans="1:8" ht="15" customHeight="1" x14ac:dyDescent="0.25">
      <c r="A11" s="8" t="s">
        <v>130</v>
      </c>
      <c r="B11" s="49">
        <v>145000</v>
      </c>
      <c r="C11" s="49">
        <v>140000</v>
      </c>
      <c r="D11" s="49">
        <v>125000</v>
      </c>
      <c r="E11" s="49">
        <v>105000</v>
      </c>
      <c r="F11" s="49">
        <v>90000</v>
      </c>
      <c r="G11" s="50">
        <f t="shared" ref="G11:G26" si="0">SUM(B11:F11)</f>
        <v>605000</v>
      </c>
      <c r="H11" s="1"/>
    </row>
    <row r="12" spans="1:8" ht="15" customHeight="1" x14ac:dyDescent="0.25">
      <c r="A12" s="8" t="s">
        <v>15</v>
      </c>
      <c r="B12" s="49">
        <f>B11*20%</f>
        <v>29000</v>
      </c>
      <c r="C12" s="49">
        <f>C11*20%</f>
        <v>28000</v>
      </c>
      <c r="D12" s="49">
        <f>D11*20%</f>
        <v>25000</v>
      </c>
      <c r="E12" s="49">
        <f>E11*20%</f>
        <v>21000</v>
      </c>
      <c r="F12" s="49">
        <f>F11*20%</f>
        <v>18000</v>
      </c>
      <c r="G12" s="50">
        <f t="shared" si="0"/>
        <v>121000</v>
      </c>
      <c r="H12" s="1"/>
    </row>
    <row r="13" spans="1:8" s="46" customFormat="1" ht="15" customHeight="1" x14ac:dyDescent="0.25">
      <c r="A13" s="47" t="s">
        <v>16</v>
      </c>
      <c r="B13" s="53">
        <v>40000</v>
      </c>
      <c r="C13" s="53">
        <v>38000</v>
      </c>
      <c r="D13" s="53">
        <v>36000</v>
      </c>
      <c r="E13" s="53">
        <v>32000</v>
      </c>
      <c r="F13" s="53">
        <v>30000</v>
      </c>
      <c r="G13" s="54">
        <f t="shared" si="0"/>
        <v>176000</v>
      </c>
      <c r="H13" s="45"/>
    </row>
    <row r="14" spans="1:8" s="46" customFormat="1" ht="15" customHeight="1" x14ac:dyDescent="0.25">
      <c r="A14" s="47" t="s">
        <v>17</v>
      </c>
      <c r="B14" s="53">
        <v>40000</v>
      </c>
      <c r="C14" s="53">
        <v>38000</v>
      </c>
      <c r="D14" s="53">
        <v>36000</v>
      </c>
      <c r="E14" s="53">
        <v>32000</v>
      </c>
      <c r="F14" s="53">
        <v>30000</v>
      </c>
      <c r="G14" s="54">
        <f t="shared" si="0"/>
        <v>176000</v>
      </c>
      <c r="H14" s="45"/>
    </row>
    <row r="15" spans="1:8" s="46" customFormat="1" ht="15" customHeight="1" x14ac:dyDescent="0.25">
      <c r="A15" s="47" t="s">
        <v>18</v>
      </c>
      <c r="B15" s="53">
        <v>42000</v>
      </c>
      <c r="C15" s="53">
        <v>40000</v>
      </c>
      <c r="D15" s="53">
        <v>38000</v>
      </c>
      <c r="E15" s="53">
        <v>35000</v>
      </c>
      <c r="F15" s="53">
        <v>32000</v>
      </c>
      <c r="G15" s="54">
        <f t="shared" si="0"/>
        <v>187000</v>
      </c>
      <c r="H15" s="45"/>
    </row>
    <row r="16" spans="1:8" s="46" customFormat="1" ht="15" customHeight="1" x14ac:dyDescent="0.25">
      <c r="A16" s="47" t="s">
        <v>19</v>
      </c>
      <c r="B16" s="53">
        <v>40000</v>
      </c>
      <c r="C16" s="53">
        <v>38000</v>
      </c>
      <c r="D16" s="53">
        <v>36000</v>
      </c>
      <c r="E16" s="53">
        <v>32000</v>
      </c>
      <c r="F16" s="53">
        <v>30000</v>
      </c>
      <c r="G16" s="54">
        <f t="shared" si="0"/>
        <v>176000</v>
      </c>
      <c r="H16" s="45"/>
    </row>
    <row r="17" spans="1:8" s="46" customFormat="1" ht="15" customHeight="1" x14ac:dyDescent="0.25">
      <c r="A17" s="48" t="s">
        <v>131</v>
      </c>
      <c r="B17" s="55">
        <v>10000</v>
      </c>
      <c r="C17" s="55">
        <v>10000</v>
      </c>
      <c r="D17" s="55">
        <v>10000</v>
      </c>
      <c r="E17" s="55">
        <v>10000</v>
      </c>
      <c r="F17" s="55">
        <v>10000</v>
      </c>
      <c r="G17" s="55">
        <f t="shared" si="0"/>
        <v>50000</v>
      </c>
      <c r="H17" s="45"/>
    </row>
    <row r="18" spans="1:8" ht="15" customHeight="1" x14ac:dyDescent="0.25">
      <c r="A18" s="8" t="s">
        <v>20</v>
      </c>
      <c r="B18" s="49">
        <v>45000</v>
      </c>
      <c r="C18" s="49">
        <v>38000</v>
      </c>
      <c r="D18" s="49">
        <v>34000</v>
      </c>
      <c r="E18" s="49">
        <v>30000</v>
      </c>
      <c r="F18" s="49">
        <v>25000</v>
      </c>
      <c r="G18" s="50">
        <f t="shared" si="0"/>
        <v>172000</v>
      </c>
      <c r="H18" s="1"/>
    </row>
    <row r="19" spans="1:8" ht="15" customHeight="1" x14ac:dyDescent="0.25">
      <c r="A19" s="8" t="s">
        <v>21</v>
      </c>
      <c r="B19" s="49">
        <v>20000</v>
      </c>
      <c r="C19" s="49">
        <v>15000</v>
      </c>
      <c r="D19" s="49">
        <v>12000</v>
      </c>
      <c r="E19" s="49">
        <v>10000</v>
      </c>
      <c r="F19" s="49">
        <v>8000</v>
      </c>
      <c r="G19" s="50">
        <f t="shared" si="0"/>
        <v>65000</v>
      </c>
      <c r="H19" s="1"/>
    </row>
    <row r="20" spans="1:8" ht="15" customHeight="1" x14ac:dyDescent="0.25">
      <c r="A20" s="8" t="s">
        <v>22</v>
      </c>
      <c r="B20" s="49">
        <v>14000</v>
      </c>
      <c r="C20" s="49">
        <v>13000</v>
      </c>
      <c r="D20" s="49">
        <v>11000</v>
      </c>
      <c r="E20" s="49">
        <v>10000</v>
      </c>
      <c r="F20" s="49">
        <v>8000</v>
      </c>
      <c r="G20" s="50">
        <f t="shared" si="0"/>
        <v>56000</v>
      </c>
      <c r="H20" s="1"/>
    </row>
    <row r="21" spans="1:8" ht="15" customHeight="1" x14ac:dyDescent="0.25">
      <c r="A21" s="8" t="s">
        <v>23</v>
      </c>
      <c r="B21" s="49">
        <v>41000</v>
      </c>
      <c r="C21" s="49">
        <v>38000</v>
      </c>
      <c r="D21" s="49">
        <v>40000</v>
      </c>
      <c r="E21" s="49">
        <v>45000</v>
      </c>
      <c r="F21" s="49">
        <v>50000</v>
      </c>
      <c r="G21" s="50">
        <f t="shared" si="0"/>
        <v>214000</v>
      </c>
      <c r="H21" s="1"/>
    </row>
    <row r="22" spans="1:8" ht="15" customHeight="1" x14ac:dyDescent="0.25">
      <c r="A22" s="8" t="s">
        <v>24</v>
      </c>
      <c r="B22" s="49">
        <v>8190</v>
      </c>
      <c r="C22" s="49">
        <v>10000</v>
      </c>
      <c r="D22" s="49">
        <v>14000</v>
      </c>
      <c r="E22" s="49">
        <v>22000</v>
      </c>
      <c r="F22" s="49">
        <v>39000</v>
      </c>
      <c r="G22" s="50">
        <f t="shared" si="0"/>
        <v>93190</v>
      </c>
      <c r="H22" s="1"/>
    </row>
    <row r="23" spans="1:8" ht="15" customHeight="1" x14ac:dyDescent="0.25">
      <c r="A23" s="8" t="s">
        <v>25</v>
      </c>
      <c r="B23" s="49">
        <v>12000</v>
      </c>
      <c r="C23" s="49">
        <v>10619</v>
      </c>
      <c r="D23" s="49">
        <v>11048</v>
      </c>
      <c r="E23" s="49">
        <v>11714</v>
      </c>
      <c r="F23" s="49">
        <v>6286</v>
      </c>
      <c r="G23" s="50">
        <f t="shared" si="0"/>
        <v>51667</v>
      </c>
      <c r="H23" s="1"/>
    </row>
    <row r="24" spans="1:8" ht="15" customHeight="1" x14ac:dyDescent="0.25">
      <c r="A24" s="11" t="s">
        <v>26</v>
      </c>
      <c r="B24" s="56">
        <f>SUM(B11:B23)</f>
        <v>486190</v>
      </c>
      <c r="C24" s="56">
        <f>SUM(C11:C23)</f>
        <v>456619</v>
      </c>
      <c r="D24" s="56">
        <f>SUM(D11:D23)</f>
        <v>428048</v>
      </c>
      <c r="E24" s="56">
        <f>SUM(E11:E23)</f>
        <v>395714</v>
      </c>
      <c r="F24" s="56">
        <f>SUM(F11:F23)</f>
        <v>376286</v>
      </c>
      <c r="G24" s="57">
        <f t="shared" si="0"/>
        <v>2142857</v>
      </c>
      <c r="H24" s="1"/>
    </row>
    <row r="25" spans="1:8" ht="26.45" customHeight="1" x14ac:dyDescent="0.25">
      <c r="A25" s="11" t="s">
        <v>27</v>
      </c>
      <c r="B25" s="56">
        <f>B24*0.05</f>
        <v>24309.5</v>
      </c>
      <c r="C25" s="56">
        <f t="shared" ref="C25:F25" si="1">C24*0.05</f>
        <v>22830.95</v>
      </c>
      <c r="D25" s="56">
        <f t="shared" si="1"/>
        <v>21402.400000000001</v>
      </c>
      <c r="E25" s="56">
        <f t="shared" si="1"/>
        <v>19785.7</v>
      </c>
      <c r="F25" s="56">
        <f t="shared" si="1"/>
        <v>18814.3</v>
      </c>
      <c r="G25" s="57">
        <f t="shared" si="0"/>
        <v>107142.85</v>
      </c>
      <c r="H25" s="1"/>
    </row>
    <row r="26" spans="1:8" ht="15" customHeight="1" x14ac:dyDescent="0.25">
      <c r="A26" s="11" t="s">
        <v>28</v>
      </c>
      <c r="B26" s="56">
        <f>B24+B25</f>
        <v>510499.5</v>
      </c>
      <c r="C26" s="56">
        <f>C24+C25</f>
        <v>479449.95</v>
      </c>
      <c r="D26" s="56">
        <f>D24+D25</f>
        <v>449450.4</v>
      </c>
      <c r="E26" s="56">
        <f>E24+E25</f>
        <v>415499.7</v>
      </c>
      <c r="F26" s="56">
        <f>F24+F25</f>
        <v>395100.3</v>
      </c>
      <c r="G26" s="57">
        <f t="shared" si="0"/>
        <v>2249999.85</v>
      </c>
      <c r="H26" s="1"/>
    </row>
    <row r="27" spans="1:8" ht="15" customHeight="1" x14ac:dyDescent="0.25">
      <c r="A27" s="8"/>
      <c r="B27" s="9"/>
      <c r="C27" s="9"/>
      <c r="D27" s="9"/>
      <c r="E27" s="9"/>
      <c r="F27" s="9"/>
      <c r="G27" s="10"/>
      <c r="H27" s="1"/>
    </row>
    <row r="28" spans="1:8" ht="26.45" customHeight="1" x14ac:dyDescent="0.25">
      <c r="A28" s="14" t="s">
        <v>29</v>
      </c>
      <c r="B28" s="15">
        <v>108900</v>
      </c>
      <c r="C28" s="15">
        <v>108900</v>
      </c>
      <c r="D28" s="15">
        <v>108900</v>
      </c>
      <c r="E28" s="15">
        <v>108900</v>
      </c>
      <c r="F28" s="15">
        <v>108900</v>
      </c>
      <c r="G28" s="16">
        <f>SUM(B28:F28)</f>
        <v>544500</v>
      </c>
      <c r="H28" s="1"/>
    </row>
    <row r="29" spans="1:8" ht="15" customHeight="1" x14ac:dyDescent="0.25">
      <c r="A29" s="1"/>
      <c r="B29" s="1"/>
      <c r="C29" s="1"/>
      <c r="D29" s="1"/>
      <c r="E29" s="1"/>
      <c r="F29" s="1"/>
      <c r="G29" s="1"/>
      <c r="H29" s="1"/>
    </row>
    <row r="30" spans="1:8" ht="15" customHeight="1" x14ac:dyDescent="0.25">
      <c r="A30" s="42" t="s">
        <v>30</v>
      </c>
      <c r="B30" s="42"/>
      <c r="C30" s="42"/>
      <c r="D30" s="42"/>
      <c r="E30" s="42"/>
      <c r="F30" s="42"/>
      <c r="G30" s="42"/>
      <c r="H30" s="1"/>
    </row>
    <row r="31" spans="1:8" ht="39.6" customHeight="1" x14ac:dyDescent="0.25">
      <c r="A31" s="43" t="s">
        <v>31</v>
      </c>
      <c r="B31" s="43"/>
      <c r="C31" s="43"/>
      <c r="D31" s="43"/>
      <c r="E31" s="43"/>
      <c r="F31" s="43"/>
      <c r="G31" s="43"/>
      <c r="H31" s="1"/>
    </row>
    <row r="32" spans="1:8" ht="26.45" customHeight="1" x14ac:dyDescent="0.25">
      <c r="A32" s="43" t="s">
        <v>32</v>
      </c>
      <c r="B32" s="43"/>
      <c r="C32" s="43"/>
      <c r="D32" s="43"/>
      <c r="E32" s="43"/>
      <c r="F32" s="43"/>
      <c r="G32" s="43"/>
      <c r="H32" s="1"/>
    </row>
    <row r="33" spans="1:8" ht="39.6" customHeight="1" x14ac:dyDescent="0.25">
      <c r="A33" s="43" t="s">
        <v>33</v>
      </c>
      <c r="B33" s="43"/>
      <c r="C33" s="43"/>
      <c r="D33" s="43"/>
      <c r="E33" s="43"/>
      <c r="F33" s="43"/>
      <c r="G33" s="43"/>
      <c r="H33" s="1"/>
    </row>
    <row r="34" spans="1:8" ht="15" customHeight="1" x14ac:dyDescent="0.25">
      <c r="A34" s="1"/>
      <c r="B34" s="1"/>
      <c r="C34" s="1"/>
      <c r="D34" s="1"/>
      <c r="E34" s="1"/>
      <c r="F34" s="1"/>
      <c r="G34" s="1"/>
      <c r="H34" s="1"/>
    </row>
    <row r="35" spans="1:8" ht="15" customHeight="1" x14ac:dyDescent="0.25">
      <c r="A35" s="1"/>
      <c r="B35" s="1"/>
      <c r="C35" s="1"/>
      <c r="D35" s="1"/>
      <c r="E35" s="1"/>
      <c r="F35" s="1"/>
      <c r="G35" s="1"/>
      <c r="H35" s="1"/>
    </row>
    <row r="36" spans="1:8" ht="15" customHeight="1" x14ac:dyDescent="0.25">
      <c r="A36" s="1"/>
      <c r="B36" s="1"/>
      <c r="C36" s="1"/>
      <c r="D36" s="1"/>
      <c r="E36" s="1"/>
      <c r="F36" s="1"/>
      <c r="G36" s="1"/>
      <c r="H36" s="1"/>
    </row>
    <row r="37" spans="1:8" ht="15" customHeight="1" x14ac:dyDescent="0.25">
      <c r="A37" s="1"/>
      <c r="B37" s="1"/>
      <c r="C37" s="1"/>
      <c r="D37" s="1"/>
      <c r="E37" s="1"/>
      <c r="F37" s="1"/>
      <c r="G37" s="1"/>
      <c r="H37" s="1"/>
    </row>
    <row r="38" spans="1:8" ht="15" customHeight="1" x14ac:dyDescent="0.25">
      <c r="A38" s="1"/>
      <c r="B38" s="1"/>
      <c r="C38" s="1"/>
      <c r="D38" s="1"/>
      <c r="E38" s="1"/>
      <c r="F38" s="1"/>
      <c r="G38" s="1"/>
      <c r="H38" s="1"/>
    </row>
    <row r="39" spans="1:8" ht="15" customHeight="1" x14ac:dyDescent="0.25">
      <c r="A39" s="1"/>
      <c r="B39" s="1"/>
      <c r="C39" s="1"/>
      <c r="D39" s="1"/>
      <c r="E39" s="1"/>
      <c r="F39" s="1"/>
      <c r="G39" s="1"/>
      <c r="H39" s="1"/>
    </row>
    <row r="40" spans="1:8" ht="15" customHeight="1" x14ac:dyDescent="0.25">
      <c r="A40" s="1"/>
      <c r="B40" s="1"/>
      <c r="C40" s="1"/>
      <c r="D40" s="1"/>
      <c r="E40" s="1"/>
      <c r="F40" s="1"/>
      <c r="G40" s="1"/>
      <c r="H40" s="1"/>
    </row>
    <row r="41" spans="1:8" ht="15" customHeight="1" x14ac:dyDescent="0.25">
      <c r="A41" s="1"/>
      <c r="B41" s="1"/>
      <c r="C41" s="1"/>
      <c r="D41" s="1"/>
      <c r="E41" s="1"/>
      <c r="F41" s="1"/>
      <c r="G41" s="1"/>
      <c r="H41" s="1"/>
    </row>
    <row r="42" spans="1:8" ht="15" customHeight="1" x14ac:dyDescent="0.25">
      <c r="A42" s="1"/>
      <c r="B42" s="1"/>
      <c r="C42" s="1"/>
      <c r="D42" s="1"/>
      <c r="E42" s="1"/>
      <c r="F42" s="1"/>
      <c r="G42" s="1"/>
      <c r="H42" s="1"/>
    </row>
    <row r="43" spans="1:8" ht="15" customHeight="1" x14ac:dyDescent="0.25">
      <c r="A43" s="1"/>
      <c r="B43" s="1"/>
      <c r="C43" s="1"/>
      <c r="D43" s="1"/>
      <c r="E43" s="1"/>
      <c r="F43" s="1"/>
      <c r="G43" s="1"/>
      <c r="H43" s="1"/>
    </row>
    <row r="44" spans="1:8" ht="15" customHeight="1" x14ac:dyDescent="0.25">
      <c r="A44" s="1"/>
      <c r="B44" s="1"/>
      <c r="C44" s="1"/>
      <c r="D44" s="1"/>
      <c r="E44" s="1"/>
      <c r="F44" s="1"/>
      <c r="G44" s="1"/>
      <c r="H44" s="1"/>
    </row>
    <row r="45" spans="1:8" ht="15" customHeight="1" x14ac:dyDescent="0.25">
      <c r="A45" s="1"/>
      <c r="B45" s="1"/>
      <c r="C45" s="1"/>
      <c r="D45" s="1"/>
      <c r="E45" s="1"/>
      <c r="F45" s="1"/>
      <c r="G45" s="1"/>
      <c r="H45" s="1"/>
    </row>
    <row r="46" spans="1:8" ht="15" customHeight="1" x14ac:dyDescent="0.25">
      <c r="A46" s="1"/>
      <c r="B46" s="1"/>
      <c r="C46" s="1"/>
      <c r="D46" s="1"/>
      <c r="E46" s="1"/>
      <c r="F46" s="1"/>
      <c r="G46" s="1"/>
      <c r="H46" s="1"/>
    </row>
    <row r="47" spans="1:8" ht="15" customHeight="1" x14ac:dyDescent="0.25">
      <c r="A47" s="1"/>
      <c r="B47" s="1"/>
      <c r="C47" s="1"/>
      <c r="D47" s="1"/>
      <c r="E47" s="1"/>
      <c r="F47" s="1"/>
      <c r="G47" s="1"/>
      <c r="H47" s="1"/>
    </row>
    <row r="48" spans="1:8" ht="15" customHeight="1" x14ac:dyDescent="0.25">
      <c r="A48" s="1"/>
      <c r="B48" s="1"/>
      <c r="C48" s="1"/>
      <c r="D48" s="1"/>
      <c r="E48" s="1"/>
      <c r="F48" s="1"/>
      <c r="G48" s="1"/>
      <c r="H48" s="1"/>
    </row>
    <row r="49" spans="1:8" ht="15" customHeight="1" x14ac:dyDescent="0.25">
      <c r="A49" s="1"/>
      <c r="B49" s="1"/>
      <c r="C49" s="1"/>
      <c r="D49" s="1"/>
      <c r="E49" s="1"/>
      <c r="F49" s="1"/>
      <c r="G49" s="1"/>
      <c r="H49" s="1"/>
    </row>
    <row r="50" spans="1:8" ht="15" customHeight="1" x14ac:dyDescent="0.25">
      <c r="A50" s="1"/>
      <c r="B50" s="1"/>
      <c r="C50" s="1"/>
      <c r="D50" s="1"/>
      <c r="E50" s="1"/>
      <c r="F50" s="1"/>
      <c r="G50" s="1"/>
      <c r="H50" s="1"/>
    </row>
    <row r="51" spans="1:8" ht="15" customHeight="1" x14ac:dyDescent="0.25">
      <c r="A51" s="1"/>
      <c r="B51" s="1"/>
      <c r="C51" s="1"/>
      <c r="D51" s="1"/>
      <c r="E51" s="1"/>
      <c r="F51" s="1"/>
      <c r="G51" s="1"/>
      <c r="H51" s="1"/>
    </row>
    <row r="52" spans="1:8" ht="15" customHeight="1" x14ac:dyDescent="0.25">
      <c r="A52" s="1"/>
      <c r="B52" s="1"/>
      <c r="C52" s="1"/>
      <c r="D52" s="1"/>
      <c r="E52" s="1"/>
      <c r="F52" s="1"/>
      <c r="G52" s="1"/>
      <c r="H52" s="1"/>
    </row>
    <row r="53" spans="1:8" ht="15" customHeight="1" x14ac:dyDescent="0.25">
      <c r="A53" s="1"/>
      <c r="B53" s="1"/>
      <c r="C53" s="1"/>
      <c r="D53" s="1"/>
      <c r="E53" s="1"/>
      <c r="F53" s="1"/>
      <c r="G53" s="1"/>
      <c r="H53" s="1"/>
    </row>
    <row r="54" spans="1:8" ht="15" customHeight="1" x14ac:dyDescent="0.25">
      <c r="A54" s="1"/>
      <c r="B54" s="1"/>
      <c r="C54" s="1"/>
      <c r="D54" s="1"/>
      <c r="E54" s="1"/>
      <c r="F54" s="1"/>
      <c r="G54" s="1"/>
      <c r="H54" s="1"/>
    </row>
    <row r="55" spans="1:8" ht="15" customHeight="1" x14ac:dyDescent="0.25">
      <c r="A55" s="1"/>
      <c r="B55" s="1"/>
      <c r="C55" s="1"/>
      <c r="D55" s="1"/>
      <c r="E55" s="1"/>
      <c r="F55" s="1"/>
      <c r="G55" s="1"/>
      <c r="H55" s="1"/>
    </row>
    <row r="56" spans="1:8" ht="15" customHeight="1" x14ac:dyDescent="0.25">
      <c r="A56" s="1"/>
      <c r="B56" s="1"/>
      <c r="C56" s="1"/>
      <c r="D56" s="1"/>
      <c r="E56" s="1"/>
      <c r="F56" s="1"/>
      <c r="G56" s="1"/>
      <c r="H56" s="1"/>
    </row>
    <row r="57" spans="1:8" ht="15" customHeight="1" x14ac:dyDescent="0.25">
      <c r="A57" s="1"/>
      <c r="B57" s="1"/>
      <c r="C57" s="1"/>
      <c r="D57" s="1"/>
      <c r="E57" s="1"/>
      <c r="F57" s="1"/>
      <c r="G57" s="1"/>
      <c r="H57" s="1"/>
    </row>
    <row r="58" spans="1:8" ht="15" customHeight="1" x14ac:dyDescent="0.25">
      <c r="A58" s="1"/>
      <c r="B58" s="1"/>
      <c r="C58" s="1"/>
      <c r="D58" s="1"/>
      <c r="E58" s="1"/>
      <c r="F58" s="1"/>
      <c r="G58" s="1"/>
      <c r="H58" s="1"/>
    </row>
    <row r="59" spans="1:8" ht="15" customHeight="1" x14ac:dyDescent="0.25">
      <c r="A59" s="1"/>
      <c r="B59" s="1"/>
      <c r="C59" s="1"/>
      <c r="D59" s="1"/>
      <c r="E59" s="1"/>
      <c r="F59" s="1"/>
      <c r="G59" s="1"/>
      <c r="H59" s="1"/>
    </row>
    <row r="60" spans="1:8" ht="15" customHeight="1" x14ac:dyDescent="0.25">
      <c r="A60" s="1"/>
      <c r="B60" s="1"/>
      <c r="C60" s="1"/>
      <c r="D60" s="1"/>
      <c r="E60" s="1"/>
      <c r="F60" s="1"/>
      <c r="G60" s="1"/>
      <c r="H60" s="1"/>
    </row>
    <row r="61" spans="1:8" ht="15" customHeight="1" x14ac:dyDescent="0.25">
      <c r="A61" s="1"/>
      <c r="B61" s="1"/>
      <c r="C61" s="1"/>
      <c r="D61" s="1"/>
      <c r="E61" s="1"/>
      <c r="F61" s="1"/>
      <c r="G61" s="1"/>
      <c r="H61" s="1"/>
    </row>
  </sheetData>
  <mergeCells count="7">
    <mergeCell ref="A32:G32"/>
    <mergeCell ref="A33:G33"/>
    <mergeCell ref="A1:G1"/>
    <mergeCell ref="A2:G2"/>
    <mergeCell ref="A3:G3"/>
    <mergeCell ref="A30:G30"/>
    <mergeCell ref="A31:G3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61"/>
  <sheetViews>
    <sheetView tabSelected="1" workbookViewId="0">
      <selection activeCell="L11" sqref="L11"/>
    </sheetView>
  </sheetViews>
  <sheetFormatPr defaultRowHeight="15" x14ac:dyDescent="0.25"/>
  <cols>
    <col min="1" max="1" width="42" customWidth="1"/>
    <col min="2" max="2" width="60" customWidth="1"/>
    <col min="3" max="8" width="14" customWidth="1"/>
  </cols>
  <sheetData>
    <row r="1" spans="1:8" ht="18.75" x14ac:dyDescent="0.3">
      <c r="A1" s="40" t="s">
        <v>34</v>
      </c>
      <c r="B1" s="40"/>
      <c r="C1" s="40"/>
      <c r="D1" s="40"/>
      <c r="E1" s="40"/>
      <c r="F1" s="40"/>
      <c r="G1" s="40"/>
      <c r="H1" s="40"/>
    </row>
    <row r="2" spans="1:8" x14ac:dyDescent="0.25">
      <c r="A2" s="41" t="s">
        <v>35</v>
      </c>
      <c r="B2" s="41"/>
      <c r="C2" s="41"/>
      <c r="D2" s="41"/>
      <c r="E2" s="41"/>
      <c r="F2" s="41"/>
      <c r="G2" s="41"/>
      <c r="H2" s="41"/>
    </row>
    <row r="3" spans="1:8" x14ac:dyDescent="0.25">
      <c r="A3" s="1"/>
      <c r="B3" s="1"/>
      <c r="C3" s="1"/>
      <c r="D3" s="1"/>
      <c r="E3" s="1"/>
      <c r="F3" s="1"/>
      <c r="G3" s="1"/>
      <c r="H3" s="1"/>
    </row>
    <row r="4" spans="1:8" x14ac:dyDescent="0.25">
      <c r="A4" s="2" t="s">
        <v>36</v>
      </c>
      <c r="B4" s="3" t="s">
        <v>37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4" t="s">
        <v>9</v>
      </c>
    </row>
    <row r="5" spans="1:8" ht="30" x14ac:dyDescent="0.25">
      <c r="A5" s="8" t="s">
        <v>14</v>
      </c>
      <c r="B5" s="17" t="s">
        <v>38</v>
      </c>
      <c r="C5" s="9">
        <v>145000</v>
      </c>
      <c r="D5" s="9">
        <v>140000</v>
      </c>
      <c r="E5" s="9">
        <v>125000</v>
      </c>
      <c r="F5" s="9">
        <v>105000</v>
      </c>
      <c r="G5" s="9">
        <v>90000</v>
      </c>
      <c r="H5" s="10">
        <f t="shared" ref="H5:H20" si="0">SUM(C5:G5)</f>
        <v>605000</v>
      </c>
    </row>
    <row r="6" spans="1:8" x14ac:dyDescent="0.25">
      <c r="A6" s="8" t="s">
        <v>15</v>
      </c>
      <c r="B6" s="17" t="s">
        <v>39</v>
      </c>
      <c r="C6" s="9">
        <f>C5*20%</f>
        <v>29000</v>
      </c>
      <c r="D6" s="9">
        <f>D5*20%</f>
        <v>28000</v>
      </c>
      <c r="E6" s="9">
        <f>E5*20%</f>
        <v>25000</v>
      </c>
      <c r="F6" s="9">
        <f>F5*20%</f>
        <v>21000</v>
      </c>
      <c r="G6" s="9">
        <f>G5*20%</f>
        <v>18000</v>
      </c>
      <c r="H6" s="10">
        <f t="shared" si="0"/>
        <v>121000</v>
      </c>
    </row>
    <row r="7" spans="1:8" ht="30" x14ac:dyDescent="0.25">
      <c r="A7" s="8" t="s">
        <v>16</v>
      </c>
      <c r="B7" s="17" t="s">
        <v>40</v>
      </c>
      <c r="C7" s="9">
        <v>40000</v>
      </c>
      <c r="D7" s="9">
        <v>38000</v>
      </c>
      <c r="E7" s="9">
        <v>36000</v>
      </c>
      <c r="F7" s="9">
        <v>32000</v>
      </c>
      <c r="G7" s="9">
        <v>30000</v>
      </c>
      <c r="H7" s="10">
        <f t="shared" si="0"/>
        <v>176000</v>
      </c>
    </row>
    <row r="8" spans="1:8" ht="30" x14ac:dyDescent="0.25">
      <c r="A8" s="8" t="s">
        <v>17</v>
      </c>
      <c r="B8" s="17" t="s">
        <v>41</v>
      </c>
      <c r="C8" s="9">
        <v>40000</v>
      </c>
      <c r="D8" s="9">
        <v>38000</v>
      </c>
      <c r="E8" s="9">
        <v>36000</v>
      </c>
      <c r="F8" s="9">
        <v>32000</v>
      </c>
      <c r="G8" s="9">
        <v>30000</v>
      </c>
      <c r="H8" s="10">
        <f t="shared" si="0"/>
        <v>176000</v>
      </c>
    </row>
    <row r="9" spans="1:8" ht="30" x14ac:dyDescent="0.25">
      <c r="A9" s="8" t="s">
        <v>18</v>
      </c>
      <c r="B9" s="17" t="s">
        <v>42</v>
      </c>
      <c r="C9" s="9">
        <v>42000</v>
      </c>
      <c r="D9" s="9">
        <v>40000</v>
      </c>
      <c r="E9" s="9">
        <v>38000</v>
      </c>
      <c r="F9" s="9">
        <v>35000</v>
      </c>
      <c r="G9" s="9">
        <v>32000</v>
      </c>
      <c r="H9" s="10">
        <f t="shared" si="0"/>
        <v>187000</v>
      </c>
    </row>
    <row r="10" spans="1:8" ht="30" x14ac:dyDescent="0.25">
      <c r="A10" s="8" t="s">
        <v>19</v>
      </c>
      <c r="B10" s="17" t="s">
        <v>43</v>
      </c>
      <c r="C10" s="9">
        <v>40000</v>
      </c>
      <c r="D10" s="9">
        <v>38000</v>
      </c>
      <c r="E10" s="9">
        <v>36000</v>
      </c>
      <c r="F10" s="9">
        <v>32000</v>
      </c>
      <c r="G10" s="9">
        <v>30000</v>
      </c>
      <c r="H10" s="10">
        <f t="shared" si="0"/>
        <v>176000</v>
      </c>
    </row>
    <row r="11" spans="1:8" ht="30" x14ac:dyDescent="0.25">
      <c r="A11" s="27" t="s">
        <v>131</v>
      </c>
      <c r="B11" s="27"/>
      <c r="C11" s="35">
        <v>10000</v>
      </c>
      <c r="D11" s="35">
        <v>10000</v>
      </c>
      <c r="E11" s="35">
        <v>10000</v>
      </c>
      <c r="F11" s="35">
        <v>10000</v>
      </c>
      <c r="G11" s="35">
        <v>10000</v>
      </c>
      <c r="H11" s="10">
        <f t="shared" si="0"/>
        <v>50000</v>
      </c>
    </row>
    <row r="12" spans="1:8" ht="30" x14ac:dyDescent="0.25">
      <c r="A12" s="8" t="s">
        <v>20</v>
      </c>
      <c r="B12" s="17" t="s">
        <v>44</v>
      </c>
      <c r="C12" s="9">
        <v>45000</v>
      </c>
      <c r="D12" s="9">
        <v>38000</v>
      </c>
      <c r="E12" s="9">
        <v>34000</v>
      </c>
      <c r="F12" s="9">
        <v>30000</v>
      </c>
      <c r="G12" s="9">
        <v>25000</v>
      </c>
      <c r="H12" s="10">
        <f t="shared" si="0"/>
        <v>172000</v>
      </c>
    </row>
    <row r="13" spans="1:8" ht="30" x14ac:dyDescent="0.25">
      <c r="A13" s="8" t="s">
        <v>21</v>
      </c>
      <c r="B13" s="17" t="s">
        <v>45</v>
      </c>
      <c r="C13" s="9">
        <v>20000</v>
      </c>
      <c r="D13" s="9">
        <v>15000</v>
      </c>
      <c r="E13" s="9">
        <v>12000</v>
      </c>
      <c r="F13" s="9">
        <v>10000</v>
      </c>
      <c r="G13" s="9">
        <v>8000</v>
      </c>
      <c r="H13" s="10">
        <f t="shared" si="0"/>
        <v>65000</v>
      </c>
    </row>
    <row r="14" spans="1:8" ht="30" x14ac:dyDescent="0.25">
      <c r="A14" s="8" t="s">
        <v>22</v>
      </c>
      <c r="B14" s="17" t="s">
        <v>46</v>
      </c>
      <c r="C14" s="9">
        <v>14000</v>
      </c>
      <c r="D14" s="9">
        <v>13000</v>
      </c>
      <c r="E14" s="9">
        <v>11000</v>
      </c>
      <c r="F14" s="9">
        <v>10000</v>
      </c>
      <c r="G14" s="9">
        <v>8000</v>
      </c>
      <c r="H14" s="10">
        <f t="shared" si="0"/>
        <v>56000</v>
      </c>
    </row>
    <row r="15" spans="1:8" ht="30" x14ac:dyDescent="0.25">
      <c r="A15" s="8" t="s">
        <v>23</v>
      </c>
      <c r="B15" s="17" t="s">
        <v>47</v>
      </c>
      <c r="C15" s="9">
        <v>41000</v>
      </c>
      <c r="D15" s="9">
        <v>38000</v>
      </c>
      <c r="E15" s="9">
        <v>40000</v>
      </c>
      <c r="F15" s="9">
        <v>45000</v>
      </c>
      <c r="G15" s="9">
        <v>50000</v>
      </c>
      <c r="H15" s="10">
        <f t="shared" si="0"/>
        <v>214000</v>
      </c>
    </row>
    <row r="16" spans="1:8" ht="30" x14ac:dyDescent="0.25">
      <c r="A16" s="8" t="s">
        <v>24</v>
      </c>
      <c r="B16" s="17" t="s">
        <v>48</v>
      </c>
      <c r="C16" s="9">
        <v>8190</v>
      </c>
      <c r="D16" s="9">
        <v>10000</v>
      </c>
      <c r="E16" s="9">
        <v>14000</v>
      </c>
      <c r="F16" s="9">
        <v>22000</v>
      </c>
      <c r="G16" s="9">
        <v>39000</v>
      </c>
      <c r="H16" s="10">
        <f t="shared" si="0"/>
        <v>93190</v>
      </c>
    </row>
    <row r="17" spans="1:8" ht="30" x14ac:dyDescent="0.25">
      <c r="A17" s="8" t="s">
        <v>25</v>
      </c>
      <c r="B17" s="17" t="s">
        <v>49</v>
      </c>
      <c r="C17" s="9">
        <v>12000</v>
      </c>
      <c r="D17" s="9">
        <v>10619</v>
      </c>
      <c r="E17" s="9">
        <v>11048</v>
      </c>
      <c r="F17" s="9">
        <v>11714</v>
      </c>
      <c r="G17" s="9">
        <v>6286</v>
      </c>
      <c r="H17" s="10">
        <f t="shared" si="0"/>
        <v>51667</v>
      </c>
    </row>
    <row r="18" spans="1:8" x14ac:dyDescent="0.25">
      <c r="A18" s="11" t="s">
        <v>26</v>
      </c>
      <c r="B18" s="18" t="s">
        <v>50</v>
      </c>
      <c r="C18" s="12">
        <f>SUM(C5:C17)</f>
        <v>486190</v>
      </c>
      <c r="D18" s="12">
        <f t="shared" ref="D18:G18" si="1">SUM(D5:D17)</f>
        <v>456619</v>
      </c>
      <c r="E18" s="12">
        <f t="shared" si="1"/>
        <v>428048</v>
      </c>
      <c r="F18" s="12">
        <f t="shared" si="1"/>
        <v>395714</v>
      </c>
      <c r="G18" s="12">
        <f t="shared" si="1"/>
        <v>376286</v>
      </c>
      <c r="H18" s="13">
        <f t="shared" si="0"/>
        <v>2142857</v>
      </c>
    </row>
    <row r="19" spans="1:8" ht="30" x14ac:dyDescent="0.25">
      <c r="A19" s="11" t="s">
        <v>51</v>
      </c>
      <c r="B19" s="18" t="s">
        <v>52</v>
      </c>
      <c r="C19" s="12">
        <f>C18*0.05</f>
        <v>24309.5</v>
      </c>
      <c r="D19" s="12">
        <f t="shared" ref="D19:G19" si="2">D18*0.05</f>
        <v>22830.95</v>
      </c>
      <c r="E19" s="12">
        <f t="shared" si="2"/>
        <v>21402.400000000001</v>
      </c>
      <c r="F19" s="12">
        <f t="shared" si="2"/>
        <v>19785.7</v>
      </c>
      <c r="G19" s="12">
        <f t="shared" si="2"/>
        <v>18814.3</v>
      </c>
      <c r="H19" s="13">
        <f t="shared" si="0"/>
        <v>107142.85</v>
      </c>
    </row>
    <row r="20" spans="1:8" x14ac:dyDescent="0.25">
      <c r="A20" s="19" t="s">
        <v>53</v>
      </c>
      <c r="B20" s="20" t="s">
        <v>54</v>
      </c>
      <c r="C20" s="21">
        <f>C18+C19</f>
        <v>510499.5</v>
      </c>
      <c r="D20" s="21">
        <f>D18+D19</f>
        <v>479449.95</v>
      </c>
      <c r="E20" s="21">
        <f>E18+E19</f>
        <v>449450.4</v>
      </c>
      <c r="F20" s="21">
        <f>F18+F19</f>
        <v>415499.7</v>
      </c>
      <c r="G20" s="21">
        <f>G18+G19</f>
        <v>395100.3</v>
      </c>
      <c r="H20" s="22">
        <f t="shared" si="0"/>
        <v>2249999.85</v>
      </c>
    </row>
    <row r="21" spans="1:8" x14ac:dyDescent="0.25">
      <c r="A21" s="1"/>
      <c r="B21" s="1"/>
      <c r="C21" s="1"/>
      <c r="D21" s="1"/>
      <c r="E21" s="1"/>
      <c r="F21" s="1"/>
      <c r="G21" s="1"/>
      <c r="H21" s="1"/>
    </row>
    <row r="22" spans="1:8" x14ac:dyDescent="0.25">
      <c r="A22" s="1"/>
      <c r="B22" s="1"/>
      <c r="C22" s="1"/>
      <c r="D22" s="1"/>
      <c r="E22" s="1"/>
      <c r="F22" s="1"/>
      <c r="G22" s="1"/>
      <c r="H22" s="1"/>
    </row>
    <row r="23" spans="1:8" x14ac:dyDescent="0.25">
      <c r="A23" s="1"/>
      <c r="B23" s="1"/>
      <c r="C23" s="1"/>
      <c r="D23" s="1"/>
      <c r="E23" s="1"/>
      <c r="F23" s="1"/>
      <c r="G23" s="1"/>
      <c r="H23" s="1"/>
    </row>
    <row r="24" spans="1:8" x14ac:dyDescent="0.25">
      <c r="A24" s="1"/>
      <c r="B24" s="1"/>
      <c r="C24" s="1"/>
      <c r="D24" s="1"/>
      <c r="E24" s="1"/>
      <c r="F24" s="1"/>
      <c r="G24" s="1"/>
      <c r="H24" s="1"/>
    </row>
    <row r="25" spans="1:8" x14ac:dyDescent="0.25">
      <c r="A25" s="1"/>
      <c r="B25" s="1"/>
      <c r="C25" s="1"/>
      <c r="D25" s="1"/>
      <c r="E25" s="1"/>
      <c r="F25" s="1"/>
      <c r="G25" s="1"/>
      <c r="H25" s="1"/>
    </row>
    <row r="26" spans="1:8" x14ac:dyDescent="0.25">
      <c r="A26" s="1"/>
      <c r="B26" s="1"/>
      <c r="C26" s="1"/>
      <c r="D26" s="1"/>
      <c r="E26" s="1"/>
      <c r="F26" s="1"/>
      <c r="G26" s="1"/>
      <c r="H26" s="1"/>
    </row>
    <row r="27" spans="1:8" x14ac:dyDescent="0.25">
      <c r="A27" s="1"/>
      <c r="B27" s="1"/>
      <c r="C27" s="1"/>
      <c r="D27" s="1"/>
      <c r="E27" s="1"/>
      <c r="F27" s="1"/>
      <c r="G27" s="1"/>
      <c r="H27" s="1"/>
    </row>
    <row r="28" spans="1:8" x14ac:dyDescent="0.25">
      <c r="A28" s="1"/>
      <c r="B28" s="1"/>
      <c r="C28" s="1"/>
      <c r="D28" s="1"/>
      <c r="E28" s="1"/>
      <c r="F28" s="1"/>
      <c r="G28" s="1"/>
      <c r="H28" s="1"/>
    </row>
    <row r="29" spans="1:8" x14ac:dyDescent="0.25">
      <c r="A29" s="1"/>
      <c r="B29" s="1"/>
      <c r="C29" s="1"/>
      <c r="D29" s="1"/>
      <c r="E29" s="1"/>
      <c r="F29" s="1"/>
      <c r="G29" s="1"/>
      <c r="H29" s="1"/>
    </row>
    <row r="30" spans="1:8" x14ac:dyDescent="0.25">
      <c r="A30" s="1"/>
      <c r="B30" s="1"/>
      <c r="C30" s="1"/>
      <c r="D30" s="1"/>
      <c r="E30" s="1"/>
      <c r="F30" s="1"/>
      <c r="G30" s="1"/>
      <c r="H30" s="1"/>
    </row>
    <row r="31" spans="1:8" x14ac:dyDescent="0.25">
      <c r="A31" s="1"/>
      <c r="B31" s="1"/>
      <c r="C31" s="1"/>
      <c r="D31" s="1"/>
      <c r="E31" s="1"/>
      <c r="F31" s="1"/>
      <c r="G31" s="1"/>
      <c r="H31" s="1"/>
    </row>
    <row r="32" spans="1:8" x14ac:dyDescent="0.25">
      <c r="A32" s="1"/>
      <c r="B32" s="1"/>
      <c r="C32" s="1"/>
      <c r="D32" s="1"/>
      <c r="E32" s="1"/>
      <c r="F32" s="1"/>
      <c r="G32" s="1"/>
      <c r="H32" s="1"/>
    </row>
    <row r="33" spans="1:8" x14ac:dyDescent="0.25">
      <c r="A33" s="1"/>
      <c r="B33" s="1"/>
      <c r="C33" s="1"/>
      <c r="D33" s="1"/>
      <c r="E33" s="1"/>
      <c r="F33" s="1"/>
      <c r="G33" s="1"/>
      <c r="H33" s="1"/>
    </row>
    <row r="34" spans="1:8" x14ac:dyDescent="0.25">
      <c r="A34" s="1"/>
      <c r="B34" s="1"/>
      <c r="C34" s="1"/>
      <c r="D34" s="1"/>
      <c r="E34" s="1"/>
      <c r="F34" s="1"/>
      <c r="G34" s="1"/>
      <c r="H34" s="1"/>
    </row>
    <row r="35" spans="1:8" x14ac:dyDescent="0.25">
      <c r="A35" s="1"/>
      <c r="B35" s="1"/>
      <c r="C35" s="1"/>
      <c r="D35" s="1"/>
      <c r="E35" s="1"/>
      <c r="F35" s="1"/>
      <c r="G35" s="1"/>
      <c r="H35" s="1"/>
    </row>
    <row r="36" spans="1:8" x14ac:dyDescent="0.25">
      <c r="A36" s="1"/>
      <c r="B36" s="1"/>
      <c r="C36" s="1"/>
      <c r="D36" s="1"/>
      <c r="E36" s="1"/>
      <c r="F36" s="1"/>
      <c r="G36" s="1"/>
      <c r="H36" s="1"/>
    </row>
    <row r="37" spans="1:8" x14ac:dyDescent="0.25">
      <c r="A37" s="1"/>
      <c r="B37" s="1"/>
      <c r="C37" s="1"/>
      <c r="D37" s="1"/>
      <c r="E37" s="1"/>
      <c r="F37" s="1"/>
      <c r="G37" s="1"/>
      <c r="H37" s="1"/>
    </row>
    <row r="38" spans="1:8" x14ac:dyDescent="0.25">
      <c r="A38" s="1"/>
      <c r="B38" s="1"/>
      <c r="C38" s="1"/>
      <c r="D38" s="1"/>
      <c r="E38" s="1"/>
      <c r="F38" s="1"/>
      <c r="G38" s="1"/>
      <c r="H38" s="1"/>
    </row>
    <row r="39" spans="1:8" x14ac:dyDescent="0.25">
      <c r="A39" s="1"/>
      <c r="B39" s="1"/>
      <c r="C39" s="1"/>
      <c r="D39" s="1"/>
      <c r="E39" s="1"/>
      <c r="F39" s="1"/>
      <c r="G39" s="1"/>
      <c r="H39" s="1"/>
    </row>
    <row r="40" spans="1:8" x14ac:dyDescent="0.25">
      <c r="A40" s="1"/>
      <c r="B40" s="1"/>
      <c r="C40" s="1"/>
      <c r="D40" s="1"/>
      <c r="E40" s="1"/>
      <c r="F40" s="1"/>
      <c r="G40" s="1"/>
      <c r="H40" s="1"/>
    </row>
    <row r="41" spans="1:8" x14ac:dyDescent="0.25">
      <c r="A41" s="1"/>
      <c r="B41" s="1"/>
      <c r="C41" s="1"/>
      <c r="D41" s="1"/>
      <c r="E41" s="1"/>
      <c r="F41" s="1"/>
      <c r="G41" s="1"/>
      <c r="H41" s="1"/>
    </row>
    <row r="42" spans="1:8" x14ac:dyDescent="0.25">
      <c r="A42" s="1"/>
      <c r="B42" s="1"/>
      <c r="C42" s="1"/>
      <c r="D42" s="1"/>
      <c r="E42" s="1"/>
      <c r="F42" s="1"/>
      <c r="G42" s="1"/>
      <c r="H42" s="1"/>
    </row>
    <row r="43" spans="1:8" x14ac:dyDescent="0.25">
      <c r="A43" s="1"/>
      <c r="B43" s="1"/>
      <c r="C43" s="1"/>
      <c r="D43" s="1"/>
      <c r="E43" s="1"/>
      <c r="F43" s="1"/>
      <c r="G43" s="1"/>
      <c r="H43" s="1"/>
    </row>
    <row r="44" spans="1:8" x14ac:dyDescent="0.25">
      <c r="A44" s="1"/>
      <c r="B44" s="1"/>
      <c r="C44" s="1"/>
      <c r="D44" s="1"/>
      <c r="E44" s="1"/>
      <c r="F44" s="1"/>
      <c r="G44" s="1"/>
      <c r="H44" s="1"/>
    </row>
    <row r="45" spans="1:8" x14ac:dyDescent="0.25">
      <c r="A45" s="1"/>
      <c r="B45" s="1"/>
      <c r="C45" s="1"/>
      <c r="D45" s="1"/>
      <c r="E45" s="1"/>
      <c r="F45" s="1"/>
      <c r="G45" s="1"/>
      <c r="H45" s="1"/>
    </row>
    <row r="46" spans="1:8" x14ac:dyDescent="0.25">
      <c r="A46" s="1"/>
      <c r="B46" s="1"/>
      <c r="C46" s="1"/>
      <c r="D46" s="1"/>
      <c r="E46" s="1"/>
      <c r="F46" s="1"/>
      <c r="G46" s="1"/>
      <c r="H46" s="1"/>
    </row>
    <row r="47" spans="1:8" x14ac:dyDescent="0.25">
      <c r="A47" s="1"/>
      <c r="B47" s="1"/>
      <c r="C47" s="1"/>
      <c r="D47" s="1"/>
      <c r="E47" s="1"/>
      <c r="F47" s="1"/>
      <c r="G47" s="1"/>
      <c r="H47" s="1"/>
    </row>
    <row r="48" spans="1:8" x14ac:dyDescent="0.25">
      <c r="A48" s="1"/>
      <c r="B48" s="1"/>
      <c r="C48" s="1"/>
      <c r="D48" s="1"/>
      <c r="E48" s="1"/>
      <c r="F48" s="1"/>
      <c r="G48" s="1"/>
      <c r="H48" s="1"/>
    </row>
    <row r="49" spans="1:8" x14ac:dyDescent="0.25">
      <c r="A49" s="1"/>
      <c r="B49" s="1"/>
      <c r="C49" s="1"/>
      <c r="D49" s="1"/>
      <c r="E49" s="1"/>
      <c r="F49" s="1"/>
      <c r="G49" s="1"/>
      <c r="H49" s="1"/>
    </row>
    <row r="50" spans="1:8" x14ac:dyDescent="0.25">
      <c r="A50" s="1"/>
      <c r="B50" s="1"/>
      <c r="C50" s="1"/>
      <c r="D50" s="1"/>
      <c r="E50" s="1"/>
      <c r="F50" s="1"/>
      <c r="G50" s="1"/>
      <c r="H50" s="1"/>
    </row>
    <row r="51" spans="1:8" x14ac:dyDescent="0.25">
      <c r="A51" s="1"/>
      <c r="B51" s="1"/>
      <c r="C51" s="1"/>
      <c r="D51" s="1"/>
      <c r="E51" s="1"/>
      <c r="F51" s="1"/>
      <c r="G51" s="1"/>
      <c r="H51" s="1"/>
    </row>
    <row r="52" spans="1:8" x14ac:dyDescent="0.25">
      <c r="A52" s="1"/>
      <c r="B52" s="1"/>
      <c r="C52" s="1"/>
      <c r="D52" s="1"/>
      <c r="E52" s="1"/>
      <c r="F52" s="1"/>
      <c r="G52" s="1"/>
      <c r="H52" s="1"/>
    </row>
    <row r="53" spans="1:8" x14ac:dyDescent="0.25">
      <c r="A53" s="1"/>
      <c r="B53" s="1"/>
      <c r="C53" s="1"/>
      <c r="D53" s="1"/>
      <c r="E53" s="1"/>
      <c r="F53" s="1"/>
      <c r="G53" s="1"/>
      <c r="H53" s="1"/>
    </row>
    <row r="54" spans="1:8" x14ac:dyDescent="0.25">
      <c r="A54" s="1"/>
      <c r="B54" s="1"/>
      <c r="C54" s="1"/>
      <c r="D54" s="1"/>
      <c r="E54" s="1"/>
      <c r="F54" s="1"/>
      <c r="G54" s="1"/>
      <c r="H54" s="1"/>
    </row>
    <row r="55" spans="1:8" x14ac:dyDescent="0.25">
      <c r="A55" s="1"/>
      <c r="B55" s="1"/>
      <c r="C55" s="1"/>
      <c r="D55" s="1"/>
      <c r="E55" s="1"/>
      <c r="F55" s="1"/>
      <c r="G55" s="1"/>
      <c r="H55" s="1"/>
    </row>
    <row r="56" spans="1:8" x14ac:dyDescent="0.25">
      <c r="A56" s="1"/>
      <c r="B56" s="1"/>
      <c r="C56" s="1"/>
      <c r="D56" s="1"/>
      <c r="E56" s="1"/>
      <c r="F56" s="1"/>
      <c r="G56" s="1"/>
      <c r="H56" s="1"/>
    </row>
    <row r="57" spans="1:8" x14ac:dyDescent="0.25">
      <c r="A57" s="1"/>
      <c r="B57" s="1"/>
      <c r="C57" s="1"/>
      <c r="D57" s="1"/>
      <c r="E57" s="1"/>
      <c r="F57" s="1"/>
      <c r="G57" s="1"/>
      <c r="H57" s="1"/>
    </row>
    <row r="58" spans="1:8" x14ac:dyDescent="0.25">
      <c r="A58" s="1"/>
      <c r="B58" s="1"/>
      <c r="C58" s="1"/>
      <c r="D58" s="1"/>
      <c r="E58" s="1"/>
      <c r="F58" s="1"/>
      <c r="G58" s="1"/>
      <c r="H58" s="1"/>
    </row>
    <row r="59" spans="1:8" x14ac:dyDescent="0.25">
      <c r="A59" s="1"/>
      <c r="B59" s="1"/>
      <c r="C59" s="1"/>
      <c r="D59" s="1"/>
      <c r="E59" s="1"/>
      <c r="F59" s="1"/>
      <c r="G59" s="1"/>
      <c r="H59" s="1"/>
    </row>
    <row r="60" spans="1:8" x14ac:dyDescent="0.25">
      <c r="A60" s="1"/>
      <c r="B60" s="1"/>
      <c r="C60" s="1"/>
      <c r="D60" s="1"/>
      <c r="E60" s="1"/>
      <c r="F60" s="1"/>
      <c r="G60" s="1"/>
      <c r="H60" s="1"/>
    </row>
    <row r="61" spans="1:8" x14ac:dyDescent="0.25">
      <c r="A61" s="1"/>
      <c r="B61" s="1"/>
      <c r="C61" s="1"/>
      <c r="D61" s="1"/>
      <c r="E61" s="1"/>
      <c r="F61" s="1"/>
      <c r="G61" s="1"/>
      <c r="H61" s="1"/>
    </row>
  </sheetData>
  <mergeCells count="2">
    <mergeCell ref="A1:H1"/>
    <mergeCell ref="A2:H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60"/>
  <sheetViews>
    <sheetView topLeftCell="A10" workbookViewId="0">
      <selection activeCell="A6" sqref="A6"/>
    </sheetView>
  </sheetViews>
  <sheetFormatPr defaultRowHeight="15" x14ac:dyDescent="0.25"/>
  <cols>
    <col min="1" max="1" width="36" customWidth="1"/>
    <col min="2" max="2" width="62" customWidth="1"/>
    <col min="3" max="4" width="50" customWidth="1"/>
  </cols>
  <sheetData>
    <row r="1" spans="1:8" ht="18.75" x14ac:dyDescent="0.3">
      <c r="A1" s="40" t="s">
        <v>55</v>
      </c>
      <c r="B1" s="40"/>
      <c r="C1" s="40"/>
      <c r="D1" s="40"/>
      <c r="E1" s="1"/>
      <c r="F1" s="1"/>
      <c r="G1" s="1"/>
      <c r="H1" s="1"/>
    </row>
    <row r="2" spans="1:8" x14ac:dyDescent="0.25">
      <c r="A2" s="41" t="s">
        <v>56</v>
      </c>
      <c r="B2" s="41"/>
      <c r="C2" s="41"/>
      <c r="D2" s="41"/>
      <c r="E2" s="1"/>
      <c r="F2" s="1"/>
      <c r="G2" s="1"/>
      <c r="H2" s="1"/>
    </row>
    <row r="3" spans="1:8" x14ac:dyDescent="0.25">
      <c r="A3" s="1"/>
      <c r="B3" s="1"/>
      <c r="C3" s="1"/>
      <c r="D3" s="1"/>
      <c r="E3" s="1"/>
      <c r="F3" s="1"/>
      <c r="G3" s="1"/>
      <c r="H3" s="1"/>
    </row>
    <row r="4" spans="1:8" x14ac:dyDescent="0.25">
      <c r="A4" s="2" t="s">
        <v>57</v>
      </c>
      <c r="B4" s="3" t="s">
        <v>58</v>
      </c>
      <c r="C4" s="3" t="s">
        <v>59</v>
      </c>
      <c r="D4" s="4" t="s">
        <v>60</v>
      </c>
      <c r="E4" s="1"/>
      <c r="F4" s="1"/>
      <c r="G4" s="1"/>
      <c r="H4" s="1"/>
    </row>
    <row r="5" spans="1:8" ht="45" x14ac:dyDescent="0.25">
      <c r="A5" s="8" t="s">
        <v>14</v>
      </c>
      <c r="B5" s="17" t="s">
        <v>61</v>
      </c>
      <c r="C5" s="17" t="s">
        <v>62</v>
      </c>
      <c r="D5" s="23" t="s">
        <v>63</v>
      </c>
      <c r="E5" s="1"/>
      <c r="F5" s="1"/>
      <c r="G5" s="1"/>
      <c r="H5" s="1"/>
    </row>
    <row r="6" spans="1:8" ht="30" x14ac:dyDescent="0.25">
      <c r="A6" s="8" t="s">
        <v>64</v>
      </c>
      <c r="B6" s="17" t="s">
        <v>65</v>
      </c>
      <c r="C6" s="17" t="s">
        <v>66</v>
      </c>
      <c r="D6" s="23" t="s">
        <v>67</v>
      </c>
      <c r="E6" s="1"/>
      <c r="F6" s="1"/>
      <c r="G6" s="1"/>
      <c r="H6" s="1"/>
    </row>
    <row r="7" spans="1:8" ht="45" x14ac:dyDescent="0.25">
      <c r="A7" s="8" t="s">
        <v>16</v>
      </c>
      <c r="B7" s="17" t="s">
        <v>68</v>
      </c>
      <c r="C7" s="17" t="s">
        <v>69</v>
      </c>
      <c r="D7" s="23" t="s">
        <v>70</v>
      </c>
      <c r="E7" s="1"/>
      <c r="F7" s="1"/>
      <c r="G7" s="1"/>
      <c r="H7" s="1"/>
    </row>
    <row r="8" spans="1:8" ht="45" x14ac:dyDescent="0.25">
      <c r="A8" s="8" t="s">
        <v>17</v>
      </c>
      <c r="B8" s="17" t="s">
        <v>71</v>
      </c>
      <c r="C8" s="17" t="s">
        <v>72</v>
      </c>
      <c r="D8" s="23" t="s">
        <v>73</v>
      </c>
      <c r="E8" s="1"/>
      <c r="F8" s="1"/>
      <c r="G8" s="1"/>
      <c r="H8" s="1"/>
    </row>
    <row r="9" spans="1:8" ht="30" x14ac:dyDescent="0.25">
      <c r="A9" s="8" t="s">
        <v>18</v>
      </c>
      <c r="B9" s="17" t="s">
        <v>74</v>
      </c>
      <c r="C9" s="17" t="s">
        <v>75</v>
      </c>
      <c r="D9" s="23" t="s">
        <v>76</v>
      </c>
      <c r="E9" s="1"/>
      <c r="F9" s="1"/>
      <c r="G9" s="1"/>
      <c r="H9" s="1"/>
    </row>
    <row r="10" spans="1:8" ht="45" x14ac:dyDescent="0.25">
      <c r="A10" s="8" t="s">
        <v>19</v>
      </c>
      <c r="B10" s="17" t="s">
        <v>77</v>
      </c>
      <c r="C10" s="17" t="s">
        <v>78</v>
      </c>
      <c r="D10" s="23" t="s">
        <v>79</v>
      </c>
      <c r="E10" s="1"/>
      <c r="F10" s="1"/>
      <c r="G10" s="1"/>
      <c r="H10" s="1"/>
    </row>
    <row r="11" spans="1:8" ht="45" x14ac:dyDescent="0.25">
      <c r="A11" s="8" t="s">
        <v>20</v>
      </c>
      <c r="B11" s="17" t="s">
        <v>80</v>
      </c>
      <c r="C11" s="17" t="s">
        <v>81</v>
      </c>
      <c r="D11" s="23" t="s">
        <v>82</v>
      </c>
      <c r="E11" s="1"/>
      <c r="F11" s="1"/>
      <c r="G11" s="1"/>
      <c r="H11" s="1"/>
    </row>
    <row r="12" spans="1:8" ht="30" x14ac:dyDescent="0.25">
      <c r="A12" s="8" t="s">
        <v>21</v>
      </c>
      <c r="B12" s="17" t="s">
        <v>83</v>
      </c>
      <c r="C12" s="17" t="s">
        <v>84</v>
      </c>
      <c r="D12" s="23" t="s">
        <v>85</v>
      </c>
      <c r="E12" s="1"/>
      <c r="F12" s="1"/>
      <c r="G12" s="1"/>
      <c r="H12" s="1"/>
    </row>
    <row r="13" spans="1:8" ht="45" x14ac:dyDescent="0.25">
      <c r="A13" s="8" t="s">
        <v>22</v>
      </c>
      <c r="B13" s="17" t="s">
        <v>86</v>
      </c>
      <c r="C13" s="17" t="s">
        <v>87</v>
      </c>
      <c r="D13" s="23" t="s">
        <v>88</v>
      </c>
      <c r="E13" s="1"/>
      <c r="F13" s="1"/>
      <c r="G13" s="1"/>
      <c r="H13" s="1"/>
    </row>
    <row r="14" spans="1:8" ht="45" x14ac:dyDescent="0.25">
      <c r="A14" s="8" t="s">
        <v>23</v>
      </c>
      <c r="B14" s="17" t="s">
        <v>89</v>
      </c>
      <c r="C14" s="17" t="s">
        <v>90</v>
      </c>
      <c r="D14" s="23" t="s">
        <v>91</v>
      </c>
      <c r="E14" s="1"/>
      <c r="F14" s="1"/>
      <c r="G14" s="1"/>
      <c r="H14" s="1"/>
    </row>
    <row r="15" spans="1:8" ht="45" x14ac:dyDescent="0.25">
      <c r="A15" s="8" t="s">
        <v>24</v>
      </c>
      <c r="B15" s="17" t="s">
        <v>92</v>
      </c>
      <c r="C15" s="17" t="s">
        <v>93</v>
      </c>
      <c r="D15" s="23" t="s">
        <v>94</v>
      </c>
      <c r="E15" s="1"/>
      <c r="F15" s="1"/>
      <c r="G15" s="1"/>
      <c r="H15" s="1"/>
    </row>
    <row r="16" spans="1:8" ht="45" x14ac:dyDescent="0.25">
      <c r="A16" s="8" t="s">
        <v>25</v>
      </c>
      <c r="B16" s="17" t="s">
        <v>95</v>
      </c>
      <c r="C16" s="17" t="s">
        <v>96</v>
      </c>
      <c r="D16" s="23" t="s">
        <v>97</v>
      </c>
      <c r="E16" s="1"/>
      <c r="F16" s="1"/>
      <c r="G16" s="1"/>
      <c r="H16" s="1"/>
    </row>
    <row r="17" spans="1:8" ht="30" x14ac:dyDescent="0.25">
      <c r="A17" s="24" t="s">
        <v>51</v>
      </c>
      <c r="B17" s="25" t="s">
        <v>98</v>
      </c>
      <c r="C17" s="25" t="s">
        <v>99</v>
      </c>
      <c r="D17" s="26" t="s">
        <v>100</v>
      </c>
      <c r="E17" s="1"/>
      <c r="F17" s="1"/>
      <c r="G17" s="1"/>
      <c r="H17" s="1"/>
    </row>
    <row r="18" spans="1:8" x14ac:dyDescent="0.25">
      <c r="A18" s="1"/>
      <c r="B18" s="1"/>
      <c r="C18" s="1"/>
      <c r="D18" s="1"/>
      <c r="E18" s="1"/>
      <c r="F18" s="1"/>
      <c r="G18" s="1"/>
      <c r="H18" s="1"/>
    </row>
    <row r="19" spans="1:8" x14ac:dyDescent="0.25">
      <c r="A19" s="1"/>
      <c r="B19" s="1"/>
      <c r="C19" s="1"/>
      <c r="D19" s="1"/>
      <c r="E19" s="1"/>
      <c r="F19" s="1"/>
      <c r="G19" s="1"/>
      <c r="H19" s="1"/>
    </row>
    <row r="20" spans="1:8" x14ac:dyDescent="0.25">
      <c r="A20" s="1"/>
      <c r="B20" s="1"/>
      <c r="C20" s="1"/>
      <c r="D20" s="1"/>
      <c r="E20" s="1"/>
      <c r="F20" s="1"/>
      <c r="G20" s="1"/>
      <c r="H20" s="1"/>
    </row>
    <row r="21" spans="1:8" x14ac:dyDescent="0.25">
      <c r="A21" s="1"/>
      <c r="B21" s="1"/>
      <c r="C21" s="1"/>
      <c r="D21" s="1"/>
      <c r="E21" s="1"/>
      <c r="F21" s="1"/>
      <c r="G21" s="1"/>
      <c r="H21" s="1"/>
    </row>
    <row r="22" spans="1:8" x14ac:dyDescent="0.25">
      <c r="A22" s="1"/>
      <c r="B22" s="1"/>
      <c r="C22" s="1"/>
      <c r="D22" s="1"/>
      <c r="E22" s="1"/>
      <c r="F22" s="1"/>
      <c r="G22" s="1"/>
      <c r="H22" s="1"/>
    </row>
    <row r="23" spans="1:8" x14ac:dyDescent="0.25">
      <c r="A23" s="1"/>
      <c r="B23" s="1"/>
      <c r="C23" s="1"/>
      <c r="D23" s="1"/>
      <c r="E23" s="1"/>
      <c r="F23" s="1"/>
      <c r="G23" s="1"/>
      <c r="H23" s="1"/>
    </row>
    <row r="24" spans="1:8" x14ac:dyDescent="0.25">
      <c r="A24" s="1"/>
      <c r="B24" s="1"/>
      <c r="C24" s="1"/>
      <c r="D24" s="1"/>
      <c r="E24" s="1"/>
      <c r="F24" s="1"/>
      <c r="G24" s="1"/>
      <c r="H24" s="1"/>
    </row>
    <row r="25" spans="1:8" x14ac:dyDescent="0.25">
      <c r="A25" s="1"/>
      <c r="B25" s="1"/>
      <c r="C25" s="1"/>
      <c r="D25" s="1"/>
      <c r="E25" s="1"/>
      <c r="F25" s="1"/>
      <c r="G25" s="1"/>
      <c r="H25" s="1"/>
    </row>
    <row r="26" spans="1:8" x14ac:dyDescent="0.25">
      <c r="A26" s="1"/>
      <c r="B26" s="1"/>
      <c r="C26" s="1"/>
      <c r="D26" s="1"/>
      <c r="E26" s="1"/>
      <c r="F26" s="1"/>
      <c r="G26" s="1"/>
      <c r="H26" s="1"/>
    </row>
    <row r="27" spans="1:8" x14ac:dyDescent="0.25">
      <c r="A27" s="1"/>
      <c r="B27" s="1"/>
      <c r="C27" s="1"/>
      <c r="D27" s="1"/>
      <c r="E27" s="1"/>
      <c r="F27" s="1"/>
      <c r="G27" s="1"/>
      <c r="H27" s="1"/>
    </row>
    <row r="28" spans="1:8" x14ac:dyDescent="0.25">
      <c r="A28" s="1"/>
      <c r="B28" s="1"/>
      <c r="C28" s="1"/>
      <c r="D28" s="1"/>
      <c r="E28" s="1"/>
      <c r="F28" s="1"/>
      <c r="G28" s="1"/>
      <c r="H28" s="1"/>
    </row>
    <row r="29" spans="1:8" x14ac:dyDescent="0.25">
      <c r="A29" s="1"/>
      <c r="B29" s="1"/>
      <c r="C29" s="1"/>
      <c r="D29" s="1"/>
      <c r="E29" s="1"/>
      <c r="F29" s="1"/>
      <c r="G29" s="1"/>
      <c r="H29" s="1"/>
    </row>
    <row r="30" spans="1:8" x14ac:dyDescent="0.25">
      <c r="A30" s="1"/>
      <c r="B30" s="1"/>
      <c r="C30" s="1"/>
      <c r="D30" s="1"/>
      <c r="E30" s="1"/>
      <c r="F30" s="1"/>
      <c r="G30" s="1"/>
      <c r="H30" s="1"/>
    </row>
    <row r="31" spans="1:8" x14ac:dyDescent="0.25">
      <c r="A31" s="1"/>
      <c r="B31" s="1"/>
      <c r="C31" s="1"/>
      <c r="D31" s="1"/>
      <c r="E31" s="1"/>
      <c r="F31" s="1"/>
      <c r="G31" s="1"/>
      <c r="H31" s="1"/>
    </row>
    <row r="32" spans="1:8" x14ac:dyDescent="0.25">
      <c r="A32" s="1"/>
      <c r="B32" s="1"/>
      <c r="C32" s="1"/>
      <c r="D32" s="1"/>
      <c r="E32" s="1"/>
      <c r="F32" s="1"/>
      <c r="G32" s="1"/>
      <c r="H32" s="1"/>
    </row>
    <row r="33" spans="1:8" x14ac:dyDescent="0.25">
      <c r="A33" s="1"/>
      <c r="B33" s="1"/>
      <c r="C33" s="1"/>
      <c r="D33" s="1"/>
      <c r="E33" s="1"/>
      <c r="F33" s="1"/>
      <c r="G33" s="1"/>
      <c r="H33" s="1"/>
    </row>
    <row r="34" spans="1:8" x14ac:dyDescent="0.25">
      <c r="A34" s="1"/>
      <c r="B34" s="1"/>
      <c r="C34" s="1"/>
      <c r="D34" s="1"/>
      <c r="E34" s="1"/>
      <c r="F34" s="1"/>
      <c r="G34" s="1"/>
      <c r="H34" s="1"/>
    </row>
    <row r="35" spans="1:8" x14ac:dyDescent="0.25">
      <c r="A35" s="1"/>
      <c r="B35" s="1"/>
      <c r="C35" s="1"/>
      <c r="D35" s="1"/>
      <c r="E35" s="1"/>
      <c r="F35" s="1"/>
      <c r="G35" s="1"/>
      <c r="H35" s="1"/>
    </row>
    <row r="36" spans="1:8" x14ac:dyDescent="0.25">
      <c r="A36" s="1"/>
      <c r="B36" s="1"/>
      <c r="C36" s="1"/>
      <c r="D36" s="1"/>
      <c r="E36" s="1"/>
      <c r="F36" s="1"/>
      <c r="G36" s="1"/>
      <c r="H36" s="1"/>
    </row>
    <row r="37" spans="1:8" x14ac:dyDescent="0.25">
      <c r="A37" s="1"/>
      <c r="B37" s="1"/>
      <c r="C37" s="1"/>
      <c r="D37" s="1"/>
      <c r="E37" s="1"/>
      <c r="F37" s="1"/>
      <c r="G37" s="1"/>
      <c r="H37" s="1"/>
    </row>
    <row r="38" spans="1:8" x14ac:dyDescent="0.25">
      <c r="A38" s="1"/>
      <c r="B38" s="1"/>
      <c r="C38" s="1"/>
      <c r="D38" s="1"/>
      <c r="E38" s="1"/>
      <c r="F38" s="1"/>
      <c r="G38" s="1"/>
      <c r="H38" s="1"/>
    </row>
    <row r="39" spans="1:8" x14ac:dyDescent="0.25">
      <c r="A39" s="1"/>
      <c r="B39" s="1"/>
      <c r="C39" s="1"/>
      <c r="D39" s="1"/>
      <c r="E39" s="1"/>
      <c r="F39" s="1"/>
      <c r="G39" s="1"/>
      <c r="H39" s="1"/>
    </row>
    <row r="40" spans="1:8" x14ac:dyDescent="0.25">
      <c r="A40" s="1"/>
      <c r="B40" s="1"/>
      <c r="C40" s="1"/>
      <c r="D40" s="1"/>
      <c r="E40" s="1"/>
      <c r="F40" s="1"/>
      <c r="G40" s="1"/>
      <c r="H40" s="1"/>
    </row>
    <row r="41" spans="1:8" x14ac:dyDescent="0.25">
      <c r="A41" s="1"/>
      <c r="B41" s="1"/>
      <c r="C41" s="1"/>
      <c r="D41" s="1"/>
      <c r="E41" s="1"/>
      <c r="F41" s="1"/>
      <c r="G41" s="1"/>
      <c r="H41" s="1"/>
    </row>
    <row r="42" spans="1:8" x14ac:dyDescent="0.25">
      <c r="A42" s="1"/>
      <c r="B42" s="1"/>
      <c r="C42" s="1"/>
      <c r="D42" s="1"/>
      <c r="E42" s="1"/>
      <c r="F42" s="1"/>
      <c r="G42" s="1"/>
      <c r="H42" s="1"/>
    </row>
    <row r="43" spans="1:8" x14ac:dyDescent="0.25">
      <c r="A43" s="1"/>
      <c r="B43" s="1"/>
      <c r="C43" s="1"/>
      <c r="D43" s="1"/>
      <c r="E43" s="1"/>
      <c r="F43" s="1"/>
      <c r="G43" s="1"/>
      <c r="H43" s="1"/>
    </row>
    <row r="44" spans="1:8" x14ac:dyDescent="0.25">
      <c r="A44" s="1"/>
      <c r="B44" s="1"/>
      <c r="C44" s="1"/>
      <c r="D44" s="1"/>
      <c r="E44" s="1"/>
      <c r="F44" s="1"/>
      <c r="G44" s="1"/>
      <c r="H44" s="1"/>
    </row>
    <row r="45" spans="1:8" x14ac:dyDescent="0.25">
      <c r="A45" s="1"/>
      <c r="B45" s="1"/>
      <c r="C45" s="1"/>
      <c r="D45" s="1"/>
      <c r="E45" s="1"/>
      <c r="F45" s="1"/>
      <c r="G45" s="1"/>
      <c r="H45" s="1"/>
    </row>
    <row r="46" spans="1:8" x14ac:dyDescent="0.25">
      <c r="A46" s="1"/>
      <c r="B46" s="1"/>
      <c r="C46" s="1"/>
      <c r="D46" s="1"/>
      <c r="E46" s="1"/>
      <c r="F46" s="1"/>
      <c r="G46" s="1"/>
      <c r="H46" s="1"/>
    </row>
    <row r="47" spans="1:8" x14ac:dyDescent="0.25">
      <c r="A47" s="1"/>
      <c r="B47" s="1"/>
      <c r="C47" s="1"/>
      <c r="D47" s="1"/>
      <c r="E47" s="1"/>
      <c r="F47" s="1"/>
      <c r="G47" s="1"/>
      <c r="H47" s="1"/>
    </row>
    <row r="48" spans="1:8" x14ac:dyDescent="0.25">
      <c r="A48" s="1"/>
      <c r="B48" s="1"/>
      <c r="C48" s="1"/>
      <c r="D48" s="1"/>
      <c r="E48" s="1"/>
      <c r="F48" s="1"/>
      <c r="G48" s="1"/>
      <c r="H48" s="1"/>
    </row>
    <row r="49" spans="1:8" x14ac:dyDescent="0.25">
      <c r="A49" s="1"/>
      <c r="B49" s="1"/>
      <c r="C49" s="1"/>
      <c r="D49" s="1"/>
      <c r="E49" s="1"/>
      <c r="F49" s="1"/>
      <c r="G49" s="1"/>
      <c r="H49" s="1"/>
    </row>
    <row r="50" spans="1:8" x14ac:dyDescent="0.25">
      <c r="A50" s="1"/>
      <c r="B50" s="1"/>
      <c r="C50" s="1"/>
      <c r="D50" s="1"/>
      <c r="E50" s="1"/>
      <c r="F50" s="1"/>
      <c r="G50" s="1"/>
      <c r="H50" s="1"/>
    </row>
    <row r="51" spans="1:8" x14ac:dyDescent="0.25">
      <c r="A51" s="1"/>
      <c r="B51" s="1"/>
      <c r="C51" s="1"/>
      <c r="D51" s="1"/>
      <c r="E51" s="1"/>
      <c r="F51" s="1"/>
      <c r="G51" s="1"/>
      <c r="H51" s="1"/>
    </row>
    <row r="52" spans="1:8" x14ac:dyDescent="0.25">
      <c r="A52" s="1"/>
      <c r="B52" s="1"/>
      <c r="C52" s="1"/>
      <c r="D52" s="1"/>
      <c r="E52" s="1"/>
      <c r="F52" s="1"/>
      <c r="G52" s="1"/>
      <c r="H52" s="1"/>
    </row>
    <row r="53" spans="1:8" x14ac:dyDescent="0.25">
      <c r="A53" s="1"/>
      <c r="B53" s="1"/>
      <c r="C53" s="1"/>
      <c r="D53" s="1"/>
      <c r="E53" s="1"/>
      <c r="F53" s="1"/>
      <c r="G53" s="1"/>
      <c r="H53" s="1"/>
    </row>
    <row r="54" spans="1:8" x14ac:dyDescent="0.25">
      <c r="A54" s="1"/>
      <c r="B54" s="1"/>
      <c r="C54" s="1"/>
      <c r="D54" s="1"/>
      <c r="E54" s="1"/>
      <c r="F54" s="1"/>
      <c r="G54" s="1"/>
      <c r="H54" s="1"/>
    </row>
    <row r="55" spans="1:8" x14ac:dyDescent="0.25">
      <c r="A55" s="1"/>
      <c r="B55" s="1"/>
      <c r="C55" s="1"/>
      <c r="D55" s="1"/>
      <c r="E55" s="1"/>
      <c r="F55" s="1"/>
      <c r="G55" s="1"/>
      <c r="H55" s="1"/>
    </row>
    <row r="56" spans="1:8" x14ac:dyDescent="0.25">
      <c r="A56" s="1"/>
      <c r="B56" s="1"/>
      <c r="C56" s="1"/>
      <c r="D56" s="1"/>
      <c r="E56" s="1"/>
      <c r="F56" s="1"/>
      <c r="G56" s="1"/>
      <c r="H56" s="1"/>
    </row>
    <row r="57" spans="1:8" x14ac:dyDescent="0.25">
      <c r="A57" s="1"/>
      <c r="B57" s="1"/>
      <c r="C57" s="1"/>
      <c r="D57" s="1"/>
      <c r="E57" s="1"/>
      <c r="F57" s="1"/>
      <c r="G57" s="1"/>
      <c r="H57" s="1"/>
    </row>
    <row r="58" spans="1:8" x14ac:dyDescent="0.25">
      <c r="A58" s="1"/>
      <c r="B58" s="1"/>
      <c r="C58" s="1"/>
      <c r="D58" s="1"/>
      <c r="E58" s="1"/>
      <c r="F58" s="1"/>
      <c r="G58" s="1"/>
      <c r="H58" s="1"/>
    </row>
    <row r="59" spans="1:8" x14ac:dyDescent="0.25">
      <c r="A59" s="1"/>
      <c r="B59" s="1"/>
      <c r="C59" s="1"/>
      <c r="D59" s="1"/>
      <c r="E59" s="1"/>
      <c r="F59" s="1"/>
      <c r="G59" s="1"/>
      <c r="H59" s="1"/>
    </row>
    <row r="60" spans="1:8" x14ac:dyDescent="0.25">
      <c r="A60" s="1"/>
      <c r="B60" s="1"/>
      <c r="C60" s="1"/>
      <c r="D60" s="1"/>
      <c r="E60" s="1"/>
      <c r="F60" s="1"/>
      <c r="G60" s="1"/>
      <c r="H60" s="1"/>
    </row>
  </sheetData>
  <mergeCells count="2">
    <mergeCell ref="A1:D1"/>
    <mergeCell ref="A2:D2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60"/>
  <sheetViews>
    <sheetView workbookViewId="0">
      <selection activeCell="H14" sqref="H14"/>
    </sheetView>
  </sheetViews>
  <sheetFormatPr defaultRowHeight="15" x14ac:dyDescent="0.25"/>
  <cols>
    <col min="1" max="1" width="32" customWidth="1"/>
    <col min="2" max="2" width="70" customWidth="1"/>
    <col min="3" max="7" width="14" customWidth="1"/>
    <col min="8" max="8" width="9.875" bestFit="1" customWidth="1"/>
  </cols>
  <sheetData>
    <row r="1" spans="1:9" ht="16.7" customHeight="1" x14ac:dyDescent="0.3">
      <c r="A1" s="40" t="s">
        <v>101</v>
      </c>
      <c r="B1" s="40"/>
      <c r="C1" s="40"/>
      <c r="D1" s="40"/>
      <c r="E1" s="40"/>
      <c r="F1" s="40"/>
      <c r="G1" s="1"/>
      <c r="H1" s="1"/>
    </row>
    <row r="2" spans="1:9" ht="15" customHeight="1" x14ac:dyDescent="0.25">
      <c r="A2" s="1"/>
      <c r="B2" s="1"/>
      <c r="C2" s="1"/>
      <c r="D2" s="1"/>
      <c r="E2" s="1"/>
      <c r="F2" s="1"/>
      <c r="G2" s="1"/>
      <c r="H2" s="1"/>
    </row>
    <row r="3" spans="1:9" ht="15" customHeight="1" x14ac:dyDescent="0.25">
      <c r="A3" s="2" t="s">
        <v>102</v>
      </c>
      <c r="B3" s="3" t="s">
        <v>103</v>
      </c>
      <c r="C3" s="3" t="s">
        <v>4</v>
      </c>
      <c r="D3" s="3" t="s">
        <v>5</v>
      </c>
      <c r="E3" s="3" t="s">
        <v>6</v>
      </c>
      <c r="F3" s="3" t="s">
        <v>7</v>
      </c>
      <c r="G3" s="3" t="s">
        <v>8</v>
      </c>
      <c r="H3" s="30" t="s">
        <v>9</v>
      </c>
    </row>
    <row r="4" spans="1:9" ht="15" customHeight="1" x14ac:dyDescent="0.25">
      <c r="A4" s="8" t="s">
        <v>104</v>
      </c>
      <c r="B4" s="17" t="s">
        <v>105</v>
      </c>
      <c r="C4" s="17"/>
      <c r="D4" s="17"/>
      <c r="E4" s="17"/>
      <c r="F4" s="17"/>
      <c r="G4" s="23"/>
      <c r="H4" s="1"/>
    </row>
    <row r="5" spans="1:9" ht="15" customHeight="1" x14ac:dyDescent="0.25">
      <c r="A5" s="8" t="s">
        <v>106</v>
      </c>
      <c r="B5" s="17" t="s">
        <v>107</v>
      </c>
      <c r="C5" s="17"/>
      <c r="D5" s="17"/>
      <c r="E5" s="17"/>
      <c r="F5" s="17"/>
      <c r="G5" s="23"/>
      <c r="H5" s="1"/>
    </row>
    <row r="6" spans="1:9" ht="15" customHeight="1" x14ac:dyDescent="0.25">
      <c r="A6" s="8" t="s">
        <v>108</v>
      </c>
      <c r="B6" s="17" t="s">
        <v>109</v>
      </c>
      <c r="C6" s="17"/>
      <c r="D6" s="17"/>
      <c r="E6" s="17"/>
      <c r="F6" s="17"/>
      <c r="G6" s="23"/>
      <c r="H6" s="1"/>
    </row>
    <row r="7" spans="1:9" ht="15" customHeight="1" x14ac:dyDescent="0.25">
      <c r="A7" s="8" t="s">
        <v>110</v>
      </c>
      <c r="B7" s="17" t="s">
        <v>111</v>
      </c>
      <c r="C7" s="17"/>
      <c r="D7" s="17"/>
      <c r="E7" s="17"/>
      <c r="F7" s="17"/>
      <c r="G7" s="23"/>
      <c r="H7" s="1"/>
    </row>
    <row r="8" spans="1:9" ht="26.45" customHeight="1" x14ac:dyDescent="0.25">
      <c r="A8" s="8" t="s">
        <v>112</v>
      </c>
      <c r="B8" s="17" t="s">
        <v>113</v>
      </c>
      <c r="C8" s="17"/>
      <c r="D8" s="17"/>
      <c r="E8" s="17"/>
      <c r="F8" s="17"/>
      <c r="G8" s="23"/>
      <c r="H8" s="1"/>
    </row>
    <row r="9" spans="1:9" ht="15" customHeight="1" x14ac:dyDescent="0.25">
      <c r="A9" s="8" t="s">
        <v>114</v>
      </c>
      <c r="B9" s="17" t="s">
        <v>115</v>
      </c>
      <c r="C9" s="17"/>
      <c r="D9" s="17"/>
      <c r="E9" s="17"/>
      <c r="F9" s="17"/>
      <c r="G9" s="23"/>
      <c r="H9" s="1"/>
    </row>
    <row r="10" spans="1:9" ht="15" customHeight="1" x14ac:dyDescent="0.25">
      <c r="A10" s="8" t="s">
        <v>116</v>
      </c>
      <c r="B10" s="17" t="s">
        <v>117</v>
      </c>
      <c r="C10" s="17"/>
      <c r="D10" s="17"/>
      <c r="E10" s="17"/>
      <c r="F10" s="17"/>
      <c r="G10" s="23"/>
      <c r="H10" s="1"/>
    </row>
    <row r="11" spans="1:9" ht="15" customHeight="1" x14ac:dyDescent="0.25">
      <c r="A11" s="8" t="s">
        <v>118</v>
      </c>
      <c r="B11" s="17" t="s">
        <v>119</v>
      </c>
      <c r="C11" s="17"/>
      <c r="D11" s="17"/>
      <c r="E11" s="17"/>
      <c r="F11" s="17"/>
      <c r="G11" s="23"/>
      <c r="H11" s="1"/>
    </row>
    <row r="12" spans="1:9" ht="15" customHeight="1" x14ac:dyDescent="0.25">
      <c r="A12" s="8"/>
      <c r="B12" s="17"/>
      <c r="C12" s="17"/>
      <c r="D12" s="17"/>
      <c r="E12" s="17"/>
      <c r="F12" s="17"/>
      <c r="G12" s="23"/>
      <c r="H12" s="1"/>
    </row>
    <row r="13" spans="1:9" ht="15" customHeight="1" x14ac:dyDescent="0.25">
      <c r="A13" s="28" t="s">
        <v>120</v>
      </c>
      <c r="B13" s="44"/>
      <c r="C13" s="29" t="s">
        <v>4</v>
      </c>
      <c r="D13" s="29" t="s">
        <v>5</v>
      </c>
      <c r="E13" s="29" t="s">
        <v>6</v>
      </c>
      <c r="F13" s="29" t="s">
        <v>7</v>
      </c>
      <c r="G13" s="29" t="s">
        <v>8</v>
      </c>
      <c r="H13" s="30" t="s">
        <v>9</v>
      </c>
      <c r="I13" s="1"/>
    </row>
    <row r="14" spans="1:9" ht="15" customHeight="1" x14ac:dyDescent="0.25">
      <c r="A14" s="8" t="s">
        <v>11</v>
      </c>
      <c r="B14" s="27"/>
      <c r="C14" s="9">
        <v>500000</v>
      </c>
      <c r="D14" s="9">
        <v>470000</v>
      </c>
      <c r="E14" s="9">
        <v>440000</v>
      </c>
      <c r="F14" s="9">
        <v>405000</v>
      </c>
      <c r="G14" s="9">
        <v>385000</v>
      </c>
      <c r="H14" s="10">
        <f>SUM(C14:G14)</f>
        <v>2200000</v>
      </c>
      <c r="I14" s="1"/>
    </row>
    <row r="15" spans="1:9" ht="15" customHeight="1" x14ac:dyDescent="0.25">
      <c r="A15" s="8"/>
      <c r="B15" s="27"/>
      <c r="C15" s="9"/>
      <c r="D15" s="9"/>
      <c r="E15" s="9"/>
      <c r="F15" s="9"/>
      <c r="G15" s="9"/>
      <c r="H15" s="10"/>
      <c r="I15" s="1"/>
    </row>
    <row r="16" spans="1:9" ht="15" customHeight="1" x14ac:dyDescent="0.25">
      <c r="A16" s="28" t="s">
        <v>121</v>
      </c>
      <c r="B16" s="44"/>
      <c r="C16" s="31" t="s">
        <v>4</v>
      </c>
      <c r="D16" s="31" t="s">
        <v>5</v>
      </c>
      <c r="E16" s="31" t="s">
        <v>6</v>
      </c>
      <c r="F16" s="31" t="s">
        <v>7</v>
      </c>
      <c r="G16" s="31" t="s">
        <v>8</v>
      </c>
      <c r="H16" s="32" t="s">
        <v>9</v>
      </c>
      <c r="I16" s="1"/>
    </row>
    <row r="17" spans="1:9" ht="15" customHeight="1" x14ac:dyDescent="0.25">
      <c r="A17" s="8" t="s">
        <v>122</v>
      </c>
      <c r="B17" s="27"/>
      <c r="C17" s="9">
        <v>476190</v>
      </c>
      <c r="D17" s="9">
        <v>447619</v>
      </c>
      <c r="E17" s="9">
        <v>419048</v>
      </c>
      <c r="F17" s="9">
        <v>385714</v>
      </c>
      <c r="G17" s="9">
        <v>366667</v>
      </c>
      <c r="H17" s="10">
        <f>SUM(C17:G17)</f>
        <v>2095238</v>
      </c>
      <c r="I17" s="1"/>
    </row>
    <row r="18" spans="1:9" ht="15" customHeight="1" x14ac:dyDescent="0.25">
      <c r="A18" s="8"/>
      <c r="B18" s="27"/>
      <c r="C18" s="9"/>
      <c r="D18" s="9"/>
      <c r="E18" s="9"/>
      <c r="F18" s="9"/>
      <c r="G18" s="9"/>
      <c r="H18" s="10"/>
      <c r="I18" s="1"/>
    </row>
    <row r="19" spans="1:9" ht="15" customHeight="1" x14ac:dyDescent="0.25">
      <c r="A19" s="28" t="s">
        <v>123</v>
      </c>
      <c r="B19" s="44"/>
      <c r="C19" s="31" t="s">
        <v>4</v>
      </c>
      <c r="D19" s="31" t="s">
        <v>5</v>
      </c>
      <c r="E19" s="31" t="s">
        <v>6</v>
      </c>
      <c r="F19" s="31" t="s">
        <v>7</v>
      </c>
      <c r="G19" s="31" t="s">
        <v>8</v>
      </c>
      <c r="H19" s="32" t="s">
        <v>9</v>
      </c>
      <c r="I19" s="1"/>
    </row>
    <row r="20" spans="1:9" ht="15" customHeight="1" x14ac:dyDescent="0.25">
      <c r="A20" s="24" t="s">
        <v>51</v>
      </c>
      <c r="B20" s="27"/>
      <c r="C20" s="33">
        <f>C14-C17</f>
        <v>23810</v>
      </c>
      <c r="D20" s="33">
        <f>D14-D17</f>
        <v>22381</v>
      </c>
      <c r="E20" s="33">
        <f>E14-E17</f>
        <v>20952</v>
      </c>
      <c r="F20" s="33">
        <f>F14-F17</f>
        <v>19286</v>
      </c>
      <c r="G20" s="33">
        <f>G14-G17</f>
        <v>18333</v>
      </c>
      <c r="H20" s="34">
        <f>SUM(C20:G20)</f>
        <v>104762</v>
      </c>
      <c r="I20" s="1"/>
    </row>
    <row r="21" spans="1:9" ht="15" customHeight="1" x14ac:dyDescent="0.25">
      <c r="A21" s="1"/>
      <c r="B21" s="1"/>
      <c r="C21" s="1"/>
      <c r="D21" s="1"/>
      <c r="E21" s="1"/>
      <c r="F21" s="1"/>
      <c r="G21" s="1"/>
      <c r="H21" s="1"/>
    </row>
    <row r="22" spans="1:9" ht="15" customHeight="1" x14ac:dyDescent="0.25">
      <c r="A22" s="1"/>
      <c r="B22" s="1"/>
      <c r="C22" s="1"/>
      <c r="D22" s="1"/>
      <c r="E22" s="1"/>
      <c r="F22" s="1"/>
      <c r="G22" s="1"/>
      <c r="H22" s="1"/>
    </row>
    <row r="23" spans="1:9" ht="15" customHeight="1" x14ac:dyDescent="0.25">
      <c r="A23" s="1"/>
      <c r="B23" s="1"/>
      <c r="C23" s="1"/>
      <c r="D23" s="1"/>
      <c r="E23" s="1"/>
      <c r="F23" s="1"/>
      <c r="G23" s="1"/>
      <c r="H23" s="1"/>
    </row>
    <row r="24" spans="1:9" ht="15" customHeight="1" x14ac:dyDescent="0.25">
      <c r="A24" s="1"/>
      <c r="B24" s="1"/>
      <c r="C24" s="1"/>
      <c r="D24" s="1"/>
      <c r="E24" s="1"/>
      <c r="F24" s="1"/>
      <c r="G24" s="1"/>
      <c r="H24" s="1"/>
    </row>
    <row r="25" spans="1:9" ht="15" customHeight="1" x14ac:dyDescent="0.25">
      <c r="A25" s="1"/>
      <c r="B25" s="1"/>
      <c r="C25" s="1"/>
      <c r="D25" s="1"/>
      <c r="E25" s="1"/>
      <c r="F25" s="1"/>
      <c r="G25" s="1"/>
      <c r="H25" s="1"/>
    </row>
    <row r="26" spans="1:9" ht="15" customHeight="1" x14ac:dyDescent="0.25">
      <c r="A26" s="1"/>
      <c r="B26" s="1"/>
      <c r="C26" s="1"/>
      <c r="D26" s="1"/>
      <c r="E26" s="1"/>
      <c r="F26" s="1"/>
      <c r="G26" s="1"/>
      <c r="H26" s="1"/>
    </row>
    <row r="27" spans="1:9" ht="15" customHeight="1" x14ac:dyDescent="0.25">
      <c r="A27" s="1"/>
      <c r="B27" s="1"/>
      <c r="C27" s="1"/>
      <c r="D27" s="1"/>
      <c r="E27" s="1"/>
      <c r="F27" s="1"/>
      <c r="G27" s="1"/>
      <c r="H27" s="1"/>
    </row>
    <row r="28" spans="1:9" ht="15" customHeight="1" x14ac:dyDescent="0.25">
      <c r="A28" s="1"/>
      <c r="B28" s="1"/>
      <c r="C28" s="1"/>
      <c r="D28" s="1"/>
      <c r="E28" s="1"/>
      <c r="F28" s="1"/>
      <c r="G28" s="1"/>
      <c r="H28" s="1"/>
    </row>
    <row r="29" spans="1:9" ht="15" customHeight="1" x14ac:dyDescent="0.25">
      <c r="A29" s="1"/>
      <c r="B29" s="1"/>
      <c r="C29" s="1"/>
      <c r="D29" s="1"/>
      <c r="E29" s="1"/>
      <c r="F29" s="1"/>
      <c r="G29" s="1"/>
      <c r="H29" s="1"/>
    </row>
    <row r="30" spans="1:9" ht="15" customHeight="1" x14ac:dyDescent="0.25">
      <c r="A30" s="1"/>
      <c r="B30" s="1"/>
      <c r="C30" s="1"/>
      <c r="D30" s="1"/>
      <c r="E30" s="1"/>
      <c r="F30" s="1"/>
      <c r="G30" s="1"/>
      <c r="H30" s="1"/>
    </row>
    <row r="31" spans="1:9" ht="15" customHeight="1" x14ac:dyDescent="0.25">
      <c r="A31" s="1"/>
      <c r="B31" s="1"/>
      <c r="C31" s="1"/>
      <c r="D31" s="1"/>
      <c r="E31" s="1"/>
      <c r="F31" s="1"/>
      <c r="G31" s="1"/>
      <c r="H31" s="1"/>
    </row>
    <row r="32" spans="1:9" ht="15" customHeight="1" x14ac:dyDescent="0.25">
      <c r="A32" s="1"/>
      <c r="B32" s="1"/>
      <c r="C32" s="1"/>
      <c r="D32" s="1"/>
      <c r="E32" s="1"/>
      <c r="F32" s="1"/>
      <c r="G32" s="1"/>
      <c r="H32" s="1"/>
    </row>
    <row r="33" spans="1:8" ht="15" customHeight="1" x14ac:dyDescent="0.25">
      <c r="A33" s="1"/>
      <c r="B33" s="1"/>
      <c r="C33" s="1"/>
      <c r="D33" s="1"/>
      <c r="E33" s="1"/>
      <c r="F33" s="1"/>
      <c r="G33" s="1"/>
      <c r="H33" s="1"/>
    </row>
    <row r="34" spans="1:8" ht="15" customHeight="1" x14ac:dyDescent="0.25">
      <c r="A34" s="1"/>
      <c r="B34" s="1"/>
      <c r="C34" s="1"/>
      <c r="D34" s="1"/>
      <c r="E34" s="1"/>
      <c r="F34" s="1"/>
      <c r="G34" s="1"/>
      <c r="H34" s="1"/>
    </row>
    <row r="35" spans="1:8" ht="15" customHeight="1" x14ac:dyDescent="0.25">
      <c r="A35" s="1"/>
      <c r="B35" s="1"/>
      <c r="C35" s="1"/>
      <c r="D35" s="1"/>
      <c r="E35" s="1"/>
      <c r="F35" s="1"/>
      <c r="G35" s="1"/>
      <c r="H35" s="1"/>
    </row>
    <row r="36" spans="1:8" ht="15" customHeight="1" x14ac:dyDescent="0.25">
      <c r="A36" s="1"/>
      <c r="B36" s="1"/>
      <c r="C36" s="1"/>
      <c r="D36" s="1"/>
      <c r="E36" s="1"/>
      <c r="F36" s="1"/>
      <c r="G36" s="1"/>
      <c r="H36" s="1"/>
    </row>
    <row r="37" spans="1:8" ht="15" customHeight="1" x14ac:dyDescent="0.25">
      <c r="A37" s="1"/>
      <c r="B37" s="1"/>
      <c r="C37" s="1"/>
      <c r="D37" s="1"/>
      <c r="E37" s="1"/>
      <c r="F37" s="1"/>
      <c r="G37" s="1"/>
      <c r="H37" s="1"/>
    </row>
    <row r="38" spans="1:8" ht="15" customHeight="1" x14ac:dyDescent="0.25">
      <c r="A38" s="1"/>
      <c r="B38" s="1"/>
      <c r="C38" s="1"/>
      <c r="D38" s="1"/>
      <c r="E38" s="1"/>
      <c r="F38" s="1"/>
      <c r="G38" s="1"/>
      <c r="H38" s="1"/>
    </row>
    <row r="39" spans="1:8" ht="15" customHeight="1" x14ac:dyDescent="0.25">
      <c r="A39" s="1"/>
      <c r="B39" s="1"/>
      <c r="C39" s="1"/>
      <c r="D39" s="1"/>
      <c r="E39" s="1"/>
      <c r="F39" s="1"/>
      <c r="G39" s="1"/>
      <c r="H39" s="1"/>
    </row>
    <row r="40" spans="1:8" ht="15" customHeight="1" x14ac:dyDescent="0.25">
      <c r="A40" s="1"/>
      <c r="B40" s="1"/>
      <c r="C40" s="1"/>
      <c r="D40" s="1"/>
      <c r="E40" s="1"/>
      <c r="F40" s="1"/>
      <c r="G40" s="1"/>
      <c r="H40" s="1"/>
    </row>
    <row r="41" spans="1:8" ht="15" customHeight="1" x14ac:dyDescent="0.25">
      <c r="A41" s="1"/>
      <c r="B41" s="1"/>
      <c r="C41" s="1"/>
      <c r="D41" s="1"/>
      <c r="E41" s="1"/>
      <c r="F41" s="1"/>
      <c r="G41" s="1"/>
      <c r="H41" s="1"/>
    </row>
    <row r="42" spans="1:8" ht="15" customHeight="1" x14ac:dyDescent="0.25">
      <c r="A42" s="1"/>
      <c r="B42" s="1"/>
      <c r="C42" s="1"/>
      <c r="D42" s="1"/>
      <c r="E42" s="1"/>
      <c r="F42" s="1"/>
      <c r="G42" s="1"/>
      <c r="H42" s="1"/>
    </row>
    <row r="43" spans="1:8" ht="15" customHeight="1" x14ac:dyDescent="0.25">
      <c r="A43" s="1"/>
      <c r="B43" s="1"/>
      <c r="C43" s="1"/>
      <c r="D43" s="1"/>
      <c r="E43" s="1"/>
      <c r="F43" s="1"/>
      <c r="G43" s="1"/>
      <c r="H43" s="1"/>
    </row>
    <row r="44" spans="1:8" ht="15" customHeight="1" x14ac:dyDescent="0.25">
      <c r="A44" s="1"/>
      <c r="B44" s="1"/>
      <c r="C44" s="1"/>
      <c r="D44" s="1"/>
      <c r="E44" s="1"/>
      <c r="F44" s="1"/>
      <c r="G44" s="1"/>
      <c r="H44" s="1"/>
    </row>
    <row r="45" spans="1:8" ht="15" customHeight="1" x14ac:dyDescent="0.25">
      <c r="A45" s="1"/>
      <c r="B45" s="1"/>
      <c r="C45" s="1"/>
      <c r="D45" s="1"/>
      <c r="E45" s="1"/>
      <c r="F45" s="1"/>
      <c r="G45" s="1"/>
      <c r="H45" s="1"/>
    </row>
    <row r="46" spans="1:8" ht="15" customHeight="1" x14ac:dyDescent="0.25">
      <c r="A46" s="1"/>
      <c r="B46" s="1"/>
      <c r="C46" s="1"/>
      <c r="D46" s="1"/>
      <c r="E46" s="1"/>
      <c r="F46" s="1"/>
      <c r="G46" s="1"/>
      <c r="H46" s="1"/>
    </row>
    <row r="47" spans="1:8" ht="15" customHeight="1" x14ac:dyDescent="0.25">
      <c r="A47" s="1"/>
      <c r="B47" s="1"/>
      <c r="C47" s="1"/>
      <c r="D47" s="1"/>
      <c r="E47" s="1"/>
      <c r="F47" s="1"/>
      <c r="G47" s="1"/>
      <c r="H47" s="1"/>
    </row>
    <row r="48" spans="1:8" ht="15" customHeight="1" x14ac:dyDescent="0.25">
      <c r="A48" s="1"/>
      <c r="B48" s="1"/>
      <c r="C48" s="1"/>
      <c r="D48" s="1"/>
      <c r="E48" s="1"/>
      <c r="F48" s="1"/>
      <c r="G48" s="1"/>
      <c r="H48" s="1"/>
    </row>
    <row r="49" spans="1:8" ht="15" customHeight="1" x14ac:dyDescent="0.25">
      <c r="A49" s="1"/>
      <c r="B49" s="1"/>
      <c r="C49" s="1"/>
      <c r="D49" s="1"/>
      <c r="E49" s="1"/>
      <c r="F49" s="1"/>
      <c r="G49" s="1"/>
      <c r="H49" s="1"/>
    </row>
    <row r="50" spans="1:8" ht="15" customHeight="1" x14ac:dyDescent="0.25">
      <c r="A50" s="1"/>
      <c r="B50" s="1"/>
      <c r="C50" s="1"/>
      <c r="D50" s="1"/>
      <c r="E50" s="1"/>
      <c r="F50" s="1"/>
      <c r="G50" s="1"/>
      <c r="H50" s="1"/>
    </row>
    <row r="51" spans="1:8" ht="15" customHeight="1" x14ac:dyDescent="0.25">
      <c r="A51" s="1"/>
      <c r="B51" s="1"/>
      <c r="C51" s="1"/>
      <c r="D51" s="1"/>
      <c r="E51" s="1"/>
      <c r="F51" s="1"/>
      <c r="G51" s="1"/>
      <c r="H51" s="1"/>
    </row>
    <row r="52" spans="1:8" ht="15" customHeight="1" x14ac:dyDescent="0.25">
      <c r="A52" s="1"/>
      <c r="B52" s="1"/>
      <c r="C52" s="1"/>
      <c r="D52" s="1"/>
      <c r="E52" s="1"/>
      <c r="F52" s="1"/>
      <c r="G52" s="1"/>
      <c r="H52" s="1"/>
    </row>
    <row r="53" spans="1:8" ht="15" customHeight="1" x14ac:dyDescent="0.25">
      <c r="A53" s="1"/>
      <c r="B53" s="1"/>
      <c r="C53" s="1"/>
      <c r="D53" s="1"/>
      <c r="E53" s="1"/>
      <c r="F53" s="1"/>
      <c r="G53" s="1"/>
      <c r="H53" s="1"/>
    </row>
    <row r="54" spans="1:8" ht="15" customHeight="1" x14ac:dyDescent="0.25">
      <c r="A54" s="1"/>
      <c r="B54" s="1"/>
      <c r="C54" s="1"/>
      <c r="D54" s="1"/>
      <c r="E54" s="1"/>
      <c r="F54" s="1"/>
      <c r="G54" s="1"/>
      <c r="H54" s="1"/>
    </row>
    <row r="55" spans="1:8" ht="15" customHeight="1" x14ac:dyDescent="0.25">
      <c r="A55" s="1"/>
      <c r="B55" s="1"/>
      <c r="C55" s="1"/>
      <c r="D55" s="1"/>
      <c r="E55" s="1"/>
      <c r="F55" s="1"/>
      <c r="G55" s="1"/>
      <c r="H55" s="1"/>
    </row>
    <row r="56" spans="1:8" ht="15" customHeight="1" x14ac:dyDescent="0.25">
      <c r="A56" s="1"/>
      <c r="B56" s="1"/>
      <c r="C56" s="1"/>
      <c r="D56" s="1"/>
      <c r="E56" s="1"/>
      <c r="F56" s="1"/>
      <c r="G56" s="1"/>
      <c r="H56" s="1"/>
    </row>
    <row r="57" spans="1:8" ht="15" customHeight="1" x14ac:dyDescent="0.25">
      <c r="A57" s="1"/>
      <c r="B57" s="1"/>
      <c r="C57" s="1"/>
      <c r="D57" s="1"/>
      <c r="E57" s="1"/>
      <c r="F57" s="1"/>
      <c r="G57" s="1"/>
      <c r="H57" s="1"/>
    </row>
    <row r="58" spans="1:8" ht="15" customHeight="1" x14ac:dyDescent="0.25">
      <c r="A58" s="1"/>
      <c r="B58" s="1"/>
      <c r="C58" s="1"/>
      <c r="D58" s="1"/>
      <c r="E58" s="1"/>
      <c r="F58" s="1"/>
      <c r="G58" s="1"/>
      <c r="H58" s="1"/>
    </row>
    <row r="59" spans="1:8" ht="15" customHeight="1" x14ac:dyDescent="0.25">
      <c r="A59" s="1"/>
      <c r="B59" s="1"/>
      <c r="C59" s="1"/>
      <c r="D59" s="1"/>
      <c r="E59" s="1"/>
      <c r="F59" s="1"/>
      <c r="G59" s="1"/>
      <c r="H59" s="1"/>
    </row>
    <row r="60" spans="1:8" ht="15" customHeight="1" x14ac:dyDescent="0.25">
      <c r="A60" s="1"/>
      <c r="B60" s="1"/>
      <c r="C60" s="1"/>
      <c r="D60" s="1"/>
      <c r="E60" s="1"/>
      <c r="F60" s="1"/>
      <c r="G60" s="1"/>
      <c r="H60" s="1"/>
    </row>
  </sheetData>
  <mergeCells count="1">
    <mergeCell ref="A1:F1"/>
  </mergeCells>
  <phoneticPr fontId="4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H60"/>
  <sheetViews>
    <sheetView workbookViewId="0">
      <selection activeCell="B4" sqref="B4"/>
    </sheetView>
  </sheetViews>
  <sheetFormatPr defaultRowHeight="15" x14ac:dyDescent="0.25"/>
  <cols>
    <col min="1" max="1" width="40" customWidth="1"/>
    <col min="2" max="7" width="14" customWidth="1"/>
  </cols>
  <sheetData>
    <row r="1" spans="1:8" ht="16.7" customHeight="1" x14ac:dyDescent="0.3">
      <c r="A1" s="40" t="s">
        <v>124</v>
      </c>
      <c r="B1" s="40"/>
      <c r="C1" s="40"/>
      <c r="D1" s="40"/>
      <c r="E1" s="40"/>
      <c r="F1" s="40"/>
      <c r="G1" s="40"/>
      <c r="H1" s="1"/>
    </row>
    <row r="2" spans="1:8" ht="15" customHeight="1" x14ac:dyDescent="0.25">
      <c r="A2" s="1"/>
      <c r="B2" s="1"/>
      <c r="C2" s="1"/>
      <c r="D2" s="1"/>
      <c r="E2" s="1"/>
      <c r="F2" s="1"/>
      <c r="G2" s="1"/>
      <c r="H2" s="1"/>
    </row>
    <row r="3" spans="1:8" ht="15" customHeight="1" x14ac:dyDescent="0.25">
      <c r="A3" s="2" t="s">
        <v>125</v>
      </c>
      <c r="B3" s="3" t="s">
        <v>4</v>
      </c>
      <c r="C3" s="3" t="s">
        <v>5</v>
      </c>
      <c r="D3" s="3" t="s">
        <v>6</v>
      </c>
      <c r="E3" s="3" t="s">
        <v>7</v>
      </c>
      <c r="F3" s="3" t="s">
        <v>8</v>
      </c>
      <c r="G3" s="4" t="s">
        <v>9</v>
      </c>
      <c r="H3" s="1"/>
    </row>
    <row r="4" spans="1:8" ht="15" customHeight="1" x14ac:dyDescent="0.25">
      <c r="A4" s="8" t="s">
        <v>126</v>
      </c>
      <c r="B4" s="36">
        <f>'Summary Budget'!B8-'Summary Budget'!B26</f>
        <v>-10499.5</v>
      </c>
      <c r="C4" s="36">
        <f>'Summary Budget'!C8-'Summary Budget'!C26</f>
        <v>-9449.9500000000116</v>
      </c>
      <c r="D4" s="36">
        <f>'Summary Budget'!D8-'Summary Budget'!D26</f>
        <v>-9450.4000000000233</v>
      </c>
      <c r="E4" s="36">
        <f>'Summary Budget'!E8-'Summary Budget'!E26</f>
        <v>-10499.700000000012</v>
      </c>
      <c r="F4" s="36">
        <f>'Summary Budget'!F8-'Summary Budget'!F26</f>
        <v>-10100.299999999988</v>
      </c>
      <c r="G4" s="37">
        <f>'Summary Budget'!G8-'Summary Budget'!G26</f>
        <v>-49999.850000000093</v>
      </c>
      <c r="H4" s="1"/>
    </row>
    <row r="5" spans="1:8" ht="15" customHeight="1" x14ac:dyDescent="0.25">
      <c r="A5" s="8" t="s">
        <v>127</v>
      </c>
      <c r="B5" s="36">
        <f>'Summary Budget'!B24-'Line-Item Budget'!C18</f>
        <v>0</v>
      </c>
      <c r="C5" s="36">
        <f>'Summary Budget'!C24-'Line-Item Budget'!D18</f>
        <v>0</v>
      </c>
      <c r="D5" s="36">
        <f>'Summary Budget'!D24-'Line-Item Budget'!E18</f>
        <v>0</v>
      </c>
      <c r="E5" s="36">
        <f>'Summary Budget'!E24-'Line-Item Budget'!F18</f>
        <v>0</v>
      </c>
      <c r="F5" s="36">
        <f>'Summary Budget'!F24-'Line-Item Budget'!G18</f>
        <v>0</v>
      </c>
      <c r="G5" s="37">
        <f>'Summary Budget'!G24-'Line-Item Budget'!H18</f>
        <v>0</v>
      </c>
      <c r="H5" s="1"/>
    </row>
    <row r="6" spans="1:8" ht="15" customHeight="1" x14ac:dyDescent="0.25">
      <c r="A6" s="8" t="s">
        <v>128</v>
      </c>
      <c r="B6" s="36"/>
      <c r="C6" s="36"/>
      <c r="D6" s="36"/>
      <c r="E6" s="36"/>
      <c r="F6" s="36"/>
      <c r="G6" s="37">
        <f>'Summary Budget'!G8-2200000</f>
        <v>0</v>
      </c>
      <c r="H6" s="1"/>
    </row>
    <row r="7" spans="1:8" ht="15" customHeight="1" x14ac:dyDescent="0.25">
      <c r="A7" s="24" t="s">
        <v>129</v>
      </c>
      <c r="B7" s="38">
        <f>'Summary Budget'!B12-'Summary Budget'!B11*20%</f>
        <v>0</v>
      </c>
      <c r="C7" s="38">
        <f>'Summary Budget'!C12-'Summary Budget'!C11*20%</f>
        <v>0</v>
      </c>
      <c r="D7" s="38">
        <f>'Summary Budget'!D12-'Summary Budget'!D11*20%</f>
        <v>0</v>
      </c>
      <c r="E7" s="38">
        <f>'Summary Budget'!E12-'Summary Budget'!E11*20%</f>
        <v>0</v>
      </c>
      <c r="F7" s="38">
        <f>'Summary Budget'!F12-'Summary Budget'!F11*20%</f>
        <v>0</v>
      </c>
      <c r="G7" s="39">
        <f>'Summary Budget'!G12-'Summary Budget'!G11*20%</f>
        <v>0</v>
      </c>
      <c r="H7" s="1"/>
    </row>
    <row r="8" spans="1:8" ht="15" customHeight="1" x14ac:dyDescent="0.25">
      <c r="A8" s="1"/>
      <c r="B8" s="1"/>
      <c r="C8" s="1"/>
      <c r="D8" s="1"/>
      <c r="E8" s="1"/>
      <c r="F8" s="1"/>
      <c r="G8" s="1"/>
      <c r="H8" s="1"/>
    </row>
    <row r="9" spans="1:8" ht="15" customHeight="1" x14ac:dyDescent="0.25">
      <c r="A9" s="1"/>
      <c r="B9" s="1"/>
      <c r="C9" s="1"/>
      <c r="D9" s="1"/>
      <c r="E9" s="1"/>
      <c r="F9" s="1"/>
      <c r="G9" s="1"/>
      <c r="H9" s="1"/>
    </row>
    <row r="10" spans="1:8" ht="15" customHeight="1" x14ac:dyDescent="0.25">
      <c r="A10" s="1"/>
      <c r="B10" s="1"/>
      <c r="C10" s="1"/>
      <c r="D10" s="1"/>
      <c r="E10" s="1"/>
      <c r="F10" s="1"/>
      <c r="G10" s="1"/>
      <c r="H10" s="1"/>
    </row>
    <row r="11" spans="1:8" ht="15" customHeight="1" x14ac:dyDescent="0.25">
      <c r="A11" s="1"/>
      <c r="B11" s="1"/>
      <c r="C11" s="1"/>
      <c r="D11" s="1"/>
      <c r="E11" s="1"/>
      <c r="F11" s="1"/>
      <c r="G11" s="1"/>
      <c r="H11" s="1"/>
    </row>
    <row r="12" spans="1:8" ht="15" customHeight="1" x14ac:dyDescent="0.25">
      <c r="A12" s="1"/>
      <c r="B12" s="1"/>
      <c r="C12" s="1"/>
      <c r="D12" s="1"/>
      <c r="E12" s="1"/>
      <c r="F12" s="1"/>
      <c r="G12" s="1"/>
      <c r="H12" s="1"/>
    </row>
    <row r="13" spans="1:8" ht="15" customHeight="1" x14ac:dyDescent="0.25">
      <c r="A13" s="1"/>
      <c r="B13" s="1"/>
      <c r="C13" s="1"/>
      <c r="D13" s="1"/>
      <c r="E13" s="1"/>
      <c r="F13" s="1"/>
      <c r="G13" s="1"/>
      <c r="H13" s="1"/>
    </row>
    <row r="14" spans="1:8" ht="15" customHeight="1" x14ac:dyDescent="0.25">
      <c r="A14" s="1"/>
      <c r="B14" s="1"/>
      <c r="C14" s="1"/>
      <c r="D14" s="1"/>
      <c r="E14" s="1"/>
      <c r="F14" s="1"/>
      <c r="G14" s="1"/>
      <c r="H14" s="1"/>
    </row>
    <row r="15" spans="1:8" ht="15" customHeight="1" x14ac:dyDescent="0.25">
      <c r="A15" s="1"/>
      <c r="B15" s="1"/>
      <c r="C15" s="1"/>
      <c r="D15" s="1"/>
      <c r="E15" s="1"/>
      <c r="F15" s="1"/>
      <c r="G15" s="1"/>
      <c r="H15" s="1"/>
    </row>
    <row r="16" spans="1:8" ht="15" customHeight="1" x14ac:dyDescent="0.25">
      <c r="A16" s="1"/>
      <c r="B16" s="1"/>
      <c r="C16" s="1"/>
      <c r="D16" s="1"/>
      <c r="E16" s="1"/>
      <c r="F16" s="1"/>
      <c r="G16" s="1"/>
      <c r="H16" s="1"/>
    </row>
    <row r="17" spans="1:8" ht="15" customHeight="1" x14ac:dyDescent="0.25">
      <c r="A17" s="1"/>
      <c r="B17" s="1"/>
      <c r="C17" s="1"/>
      <c r="D17" s="1"/>
      <c r="E17" s="1"/>
      <c r="F17" s="1"/>
      <c r="G17" s="1"/>
      <c r="H17" s="1"/>
    </row>
    <row r="18" spans="1:8" ht="15" customHeight="1" x14ac:dyDescent="0.25">
      <c r="A18" s="1"/>
      <c r="B18" s="1"/>
      <c r="C18" s="1"/>
      <c r="D18" s="1"/>
      <c r="E18" s="1"/>
      <c r="F18" s="1"/>
      <c r="G18" s="1"/>
      <c r="H18" s="1"/>
    </row>
    <row r="19" spans="1:8" ht="15" customHeight="1" x14ac:dyDescent="0.25">
      <c r="A19" s="1"/>
      <c r="B19" s="1"/>
      <c r="C19" s="1"/>
      <c r="D19" s="1"/>
      <c r="E19" s="1"/>
      <c r="F19" s="1"/>
      <c r="G19" s="1"/>
      <c r="H19" s="1"/>
    </row>
    <row r="20" spans="1:8" ht="15" customHeight="1" x14ac:dyDescent="0.25">
      <c r="A20" s="1"/>
      <c r="B20" s="1"/>
      <c r="C20" s="1"/>
      <c r="D20" s="1"/>
      <c r="E20" s="1"/>
      <c r="F20" s="1"/>
      <c r="G20" s="1"/>
      <c r="H20" s="1"/>
    </row>
    <row r="21" spans="1:8" ht="15" customHeight="1" x14ac:dyDescent="0.25">
      <c r="A21" s="1"/>
      <c r="B21" s="1"/>
      <c r="C21" s="1"/>
      <c r="D21" s="1"/>
      <c r="E21" s="1"/>
      <c r="F21" s="1"/>
      <c r="G21" s="1"/>
      <c r="H21" s="1"/>
    </row>
    <row r="22" spans="1:8" ht="15" customHeight="1" x14ac:dyDescent="0.25">
      <c r="A22" s="1"/>
      <c r="B22" s="1"/>
      <c r="C22" s="1"/>
      <c r="D22" s="1"/>
      <c r="E22" s="1"/>
      <c r="F22" s="1"/>
      <c r="G22" s="1"/>
      <c r="H22" s="1"/>
    </row>
    <row r="23" spans="1:8" ht="15" customHeight="1" x14ac:dyDescent="0.25">
      <c r="A23" s="1"/>
      <c r="B23" s="1"/>
      <c r="C23" s="1"/>
      <c r="D23" s="1"/>
      <c r="E23" s="1"/>
      <c r="F23" s="1"/>
      <c r="G23" s="1"/>
      <c r="H23" s="1"/>
    </row>
    <row r="24" spans="1:8" ht="15" customHeight="1" x14ac:dyDescent="0.25">
      <c r="A24" s="1"/>
      <c r="B24" s="1"/>
      <c r="C24" s="1"/>
      <c r="D24" s="1"/>
      <c r="E24" s="1"/>
      <c r="F24" s="1"/>
      <c r="G24" s="1"/>
      <c r="H24" s="1"/>
    </row>
    <row r="25" spans="1:8" ht="15" customHeight="1" x14ac:dyDescent="0.25">
      <c r="A25" s="1"/>
      <c r="B25" s="1"/>
      <c r="C25" s="1"/>
      <c r="D25" s="1"/>
      <c r="E25" s="1"/>
      <c r="F25" s="1"/>
      <c r="G25" s="1"/>
      <c r="H25" s="1"/>
    </row>
    <row r="26" spans="1:8" ht="15" customHeight="1" x14ac:dyDescent="0.25">
      <c r="A26" s="1"/>
      <c r="B26" s="1"/>
      <c r="C26" s="1"/>
      <c r="D26" s="1"/>
      <c r="E26" s="1"/>
      <c r="F26" s="1"/>
      <c r="G26" s="1"/>
      <c r="H26" s="1"/>
    </row>
    <row r="27" spans="1:8" ht="15" customHeight="1" x14ac:dyDescent="0.25">
      <c r="A27" s="1"/>
      <c r="B27" s="1"/>
      <c r="C27" s="1"/>
      <c r="D27" s="1"/>
      <c r="E27" s="1"/>
      <c r="F27" s="1"/>
      <c r="G27" s="1"/>
      <c r="H27" s="1"/>
    </row>
    <row r="28" spans="1:8" ht="15" customHeight="1" x14ac:dyDescent="0.25">
      <c r="A28" s="1"/>
      <c r="B28" s="1"/>
      <c r="C28" s="1"/>
      <c r="D28" s="1"/>
      <c r="E28" s="1"/>
      <c r="F28" s="1"/>
      <c r="G28" s="1"/>
      <c r="H28" s="1"/>
    </row>
    <row r="29" spans="1:8" ht="15" customHeight="1" x14ac:dyDescent="0.25">
      <c r="A29" s="1"/>
      <c r="B29" s="1"/>
      <c r="C29" s="1"/>
      <c r="D29" s="1"/>
      <c r="E29" s="1"/>
      <c r="F29" s="1"/>
      <c r="G29" s="1"/>
      <c r="H29" s="1"/>
    </row>
    <row r="30" spans="1:8" ht="15" customHeight="1" x14ac:dyDescent="0.25">
      <c r="A30" s="1"/>
      <c r="B30" s="1"/>
      <c r="C30" s="1"/>
      <c r="D30" s="1"/>
      <c r="E30" s="1"/>
      <c r="F30" s="1"/>
      <c r="G30" s="1"/>
      <c r="H30" s="1"/>
    </row>
    <row r="31" spans="1:8" ht="15" customHeight="1" x14ac:dyDescent="0.25">
      <c r="A31" s="1"/>
      <c r="B31" s="1"/>
      <c r="C31" s="1"/>
      <c r="D31" s="1"/>
      <c r="E31" s="1"/>
      <c r="F31" s="1"/>
      <c r="G31" s="1"/>
      <c r="H31" s="1"/>
    </row>
    <row r="32" spans="1:8" ht="15" customHeight="1" x14ac:dyDescent="0.25">
      <c r="A32" s="1"/>
      <c r="B32" s="1"/>
      <c r="C32" s="1"/>
      <c r="D32" s="1"/>
      <c r="E32" s="1"/>
      <c r="F32" s="1"/>
      <c r="G32" s="1"/>
      <c r="H32" s="1"/>
    </row>
    <row r="33" spans="1:8" ht="15" customHeight="1" x14ac:dyDescent="0.25">
      <c r="A33" s="1"/>
      <c r="B33" s="1"/>
      <c r="C33" s="1"/>
      <c r="D33" s="1"/>
      <c r="E33" s="1"/>
      <c r="F33" s="1"/>
      <c r="G33" s="1"/>
      <c r="H33" s="1"/>
    </row>
    <row r="34" spans="1:8" ht="15" customHeight="1" x14ac:dyDescent="0.25">
      <c r="A34" s="1"/>
      <c r="B34" s="1"/>
      <c r="C34" s="1"/>
      <c r="D34" s="1"/>
      <c r="E34" s="1"/>
      <c r="F34" s="1"/>
      <c r="G34" s="1"/>
      <c r="H34" s="1"/>
    </row>
    <row r="35" spans="1:8" ht="15" customHeight="1" x14ac:dyDescent="0.25">
      <c r="A35" s="1"/>
      <c r="B35" s="1"/>
      <c r="C35" s="1"/>
      <c r="D35" s="1"/>
      <c r="E35" s="1"/>
      <c r="F35" s="1"/>
      <c r="G35" s="1"/>
      <c r="H35" s="1"/>
    </row>
    <row r="36" spans="1:8" ht="15" customHeight="1" x14ac:dyDescent="0.25">
      <c r="A36" s="1"/>
      <c r="B36" s="1"/>
      <c r="C36" s="1"/>
      <c r="D36" s="1"/>
      <c r="E36" s="1"/>
      <c r="F36" s="1"/>
      <c r="G36" s="1"/>
      <c r="H36" s="1"/>
    </row>
    <row r="37" spans="1:8" ht="15" customHeight="1" x14ac:dyDescent="0.25">
      <c r="A37" s="1"/>
      <c r="B37" s="1"/>
      <c r="C37" s="1"/>
      <c r="D37" s="1"/>
      <c r="E37" s="1"/>
      <c r="F37" s="1"/>
      <c r="G37" s="1"/>
      <c r="H37" s="1"/>
    </row>
    <row r="38" spans="1:8" ht="15" customHeight="1" x14ac:dyDescent="0.25">
      <c r="A38" s="1"/>
      <c r="B38" s="1"/>
      <c r="C38" s="1"/>
      <c r="D38" s="1"/>
      <c r="E38" s="1"/>
      <c r="F38" s="1"/>
      <c r="G38" s="1"/>
      <c r="H38" s="1"/>
    </row>
    <row r="39" spans="1:8" ht="15" customHeight="1" x14ac:dyDescent="0.25">
      <c r="A39" s="1"/>
      <c r="B39" s="1"/>
      <c r="C39" s="1"/>
      <c r="D39" s="1"/>
      <c r="E39" s="1"/>
      <c r="F39" s="1"/>
      <c r="G39" s="1"/>
      <c r="H39" s="1"/>
    </row>
    <row r="40" spans="1:8" ht="15" customHeight="1" x14ac:dyDescent="0.25">
      <c r="A40" s="1"/>
      <c r="B40" s="1"/>
      <c r="C40" s="1"/>
      <c r="D40" s="1"/>
      <c r="E40" s="1"/>
      <c r="F40" s="1"/>
      <c r="G40" s="1"/>
      <c r="H40" s="1"/>
    </row>
    <row r="41" spans="1:8" ht="15" customHeight="1" x14ac:dyDescent="0.25">
      <c r="A41" s="1"/>
      <c r="B41" s="1"/>
      <c r="C41" s="1"/>
      <c r="D41" s="1"/>
      <c r="E41" s="1"/>
      <c r="F41" s="1"/>
      <c r="G41" s="1"/>
      <c r="H41" s="1"/>
    </row>
    <row r="42" spans="1:8" ht="15" customHeight="1" x14ac:dyDescent="0.25">
      <c r="A42" s="1"/>
      <c r="B42" s="1"/>
      <c r="C42" s="1"/>
      <c r="D42" s="1"/>
      <c r="E42" s="1"/>
      <c r="F42" s="1"/>
      <c r="G42" s="1"/>
      <c r="H42" s="1"/>
    </row>
    <row r="43" spans="1:8" ht="15" customHeight="1" x14ac:dyDescent="0.25">
      <c r="A43" s="1"/>
      <c r="B43" s="1"/>
      <c r="C43" s="1"/>
      <c r="D43" s="1"/>
      <c r="E43" s="1"/>
      <c r="F43" s="1"/>
      <c r="G43" s="1"/>
      <c r="H43" s="1"/>
    </row>
    <row r="44" spans="1:8" ht="15" customHeight="1" x14ac:dyDescent="0.25">
      <c r="A44" s="1"/>
      <c r="B44" s="1"/>
      <c r="C44" s="1"/>
      <c r="D44" s="1"/>
      <c r="E44" s="1"/>
      <c r="F44" s="1"/>
      <c r="G44" s="1"/>
      <c r="H44" s="1"/>
    </row>
    <row r="45" spans="1:8" ht="15" customHeight="1" x14ac:dyDescent="0.25">
      <c r="A45" s="1"/>
      <c r="B45" s="1"/>
      <c r="C45" s="1"/>
      <c r="D45" s="1"/>
      <c r="E45" s="1"/>
      <c r="F45" s="1"/>
      <c r="G45" s="1"/>
      <c r="H45" s="1"/>
    </row>
    <row r="46" spans="1:8" ht="15" customHeight="1" x14ac:dyDescent="0.25">
      <c r="A46" s="1"/>
      <c r="B46" s="1"/>
      <c r="C46" s="1"/>
      <c r="D46" s="1"/>
      <c r="E46" s="1"/>
      <c r="F46" s="1"/>
      <c r="G46" s="1"/>
      <c r="H46" s="1"/>
    </row>
    <row r="47" spans="1:8" ht="15" customHeight="1" x14ac:dyDescent="0.25">
      <c r="A47" s="1"/>
      <c r="B47" s="1"/>
      <c r="C47" s="1"/>
      <c r="D47" s="1"/>
      <c r="E47" s="1"/>
      <c r="F47" s="1"/>
      <c r="G47" s="1"/>
      <c r="H47" s="1"/>
    </row>
    <row r="48" spans="1:8" ht="15" customHeight="1" x14ac:dyDescent="0.25">
      <c r="A48" s="1"/>
      <c r="B48" s="1"/>
      <c r="C48" s="1"/>
      <c r="D48" s="1"/>
      <c r="E48" s="1"/>
      <c r="F48" s="1"/>
      <c r="G48" s="1"/>
      <c r="H48" s="1"/>
    </row>
    <row r="49" spans="1:8" ht="15" customHeight="1" x14ac:dyDescent="0.25">
      <c r="A49" s="1"/>
      <c r="B49" s="1"/>
      <c r="C49" s="1"/>
      <c r="D49" s="1"/>
      <c r="E49" s="1"/>
      <c r="F49" s="1"/>
      <c r="G49" s="1"/>
      <c r="H49" s="1"/>
    </row>
    <row r="50" spans="1:8" ht="15" customHeight="1" x14ac:dyDescent="0.25">
      <c r="A50" s="1"/>
      <c r="B50" s="1"/>
      <c r="C50" s="1"/>
      <c r="D50" s="1"/>
      <c r="E50" s="1"/>
      <c r="F50" s="1"/>
      <c r="G50" s="1"/>
      <c r="H50" s="1"/>
    </row>
    <row r="51" spans="1:8" ht="15" customHeight="1" x14ac:dyDescent="0.25">
      <c r="A51" s="1"/>
      <c r="B51" s="1"/>
      <c r="C51" s="1"/>
      <c r="D51" s="1"/>
      <c r="E51" s="1"/>
      <c r="F51" s="1"/>
      <c r="G51" s="1"/>
      <c r="H51" s="1"/>
    </row>
    <row r="52" spans="1:8" ht="15" customHeight="1" x14ac:dyDescent="0.25">
      <c r="A52" s="1"/>
      <c r="B52" s="1"/>
      <c r="C52" s="1"/>
      <c r="D52" s="1"/>
      <c r="E52" s="1"/>
      <c r="F52" s="1"/>
      <c r="G52" s="1"/>
      <c r="H52" s="1"/>
    </row>
    <row r="53" spans="1:8" ht="15" customHeight="1" x14ac:dyDescent="0.25">
      <c r="A53" s="1"/>
      <c r="B53" s="1"/>
      <c r="C53" s="1"/>
      <c r="D53" s="1"/>
      <c r="E53" s="1"/>
      <c r="F53" s="1"/>
      <c r="G53" s="1"/>
      <c r="H53" s="1"/>
    </row>
    <row r="54" spans="1:8" ht="15" customHeight="1" x14ac:dyDescent="0.25">
      <c r="A54" s="1"/>
      <c r="B54" s="1"/>
      <c r="C54" s="1"/>
      <c r="D54" s="1"/>
      <c r="E54" s="1"/>
      <c r="F54" s="1"/>
      <c r="G54" s="1"/>
      <c r="H54" s="1"/>
    </row>
    <row r="55" spans="1:8" ht="15" customHeight="1" x14ac:dyDescent="0.25">
      <c r="A55" s="1"/>
      <c r="B55" s="1"/>
      <c r="C55" s="1"/>
      <c r="D55" s="1"/>
      <c r="E55" s="1"/>
      <c r="F55" s="1"/>
      <c r="G55" s="1"/>
      <c r="H55" s="1"/>
    </row>
    <row r="56" spans="1:8" ht="15" customHeight="1" x14ac:dyDescent="0.25">
      <c r="A56" s="1"/>
      <c r="B56" s="1"/>
      <c r="C56" s="1"/>
      <c r="D56" s="1"/>
      <c r="E56" s="1"/>
      <c r="F56" s="1"/>
      <c r="G56" s="1"/>
      <c r="H56" s="1"/>
    </row>
    <row r="57" spans="1:8" ht="15" customHeight="1" x14ac:dyDescent="0.25">
      <c r="A57" s="1"/>
      <c r="B57" s="1"/>
      <c r="C57" s="1"/>
      <c r="D57" s="1"/>
      <c r="E57" s="1"/>
      <c r="F57" s="1"/>
      <c r="G57" s="1"/>
      <c r="H57" s="1"/>
    </row>
    <row r="58" spans="1:8" ht="15" customHeight="1" x14ac:dyDescent="0.25">
      <c r="A58" s="1"/>
      <c r="B58" s="1"/>
      <c r="C58" s="1"/>
      <c r="D58" s="1"/>
      <c r="E58" s="1"/>
      <c r="F58" s="1"/>
      <c r="G58" s="1"/>
      <c r="H58" s="1"/>
    </row>
    <row r="59" spans="1:8" ht="15" customHeight="1" x14ac:dyDescent="0.25">
      <c r="A59" s="1"/>
      <c r="B59" s="1"/>
      <c r="C59" s="1"/>
      <c r="D59" s="1"/>
      <c r="E59" s="1"/>
      <c r="F59" s="1"/>
      <c r="G59" s="1"/>
      <c r="H59" s="1"/>
    </row>
    <row r="60" spans="1:8" ht="15" customHeight="1" x14ac:dyDescent="0.25">
      <c r="A60" s="1"/>
      <c r="B60" s="1"/>
      <c r="C60" s="1"/>
      <c r="D60" s="1"/>
      <c r="E60" s="1"/>
      <c r="F60" s="1"/>
      <c r="G60" s="1"/>
      <c r="H60" s="1"/>
    </row>
  </sheetData>
  <mergeCells count="1">
    <mergeCell ref="A1:G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Summary Budget</vt:lpstr>
      <vt:lpstr>Line-Item Budget</vt:lpstr>
      <vt:lpstr>Budget Narrative</vt:lpstr>
      <vt:lpstr>Assumptions</vt:lpstr>
      <vt:lpstr>Formula Checks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Aliman Neal</cp:lastModifiedBy>
  <dcterms:modified xsi:type="dcterms:W3CDTF">2026-05-19T02:03:41Z</dcterms:modified>
</cp:coreProperties>
</file>