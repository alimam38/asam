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ima\Dropbox\Turner\Lilly\"/>
    </mc:Choice>
  </mc:AlternateContent>
  <xr:revisionPtr revIDLastSave="0" documentId="13_ncr:1_{FA91DA0E-FB91-4B27-B09A-46419EF5A97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Line-Item Budget" sheetId="1" r:id="rId1"/>
    <sheet name="Summary Budget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0" i="2" l="1"/>
  <c r="F19" i="2"/>
  <c r="F21" i="2" s="1"/>
  <c r="E19" i="2"/>
  <c r="E21" i="2" s="1"/>
  <c r="D19" i="2"/>
  <c r="D21" i="2" s="1"/>
  <c r="C19" i="2"/>
  <c r="C21" i="2" s="1"/>
  <c r="B19" i="2"/>
  <c r="B21" i="2" s="1"/>
  <c r="G18" i="2"/>
  <c r="G17" i="2"/>
  <c r="G16" i="2"/>
  <c r="G15" i="2"/>
  <c r="G14" i="2"/>
  <c r="G13" i="2"/>
  <c r="G12" i="2"/>
  <c r="G11" i="2"/>
  <c r="F8" i="2"/>
  <c r="E8" i="2"/>
  <c r="D8" i="2"/>
  <c r="C8" i="2"/>
  <c r="B8" i="2"/>
  <c r="G7" i="2"/>
  <c r="G8" i="2" s="1"/>
  <c r="G53" i="1"/>
  <c r="F51" i="1"/>
  <c r="F55" i="1" s="1"/>
  <c r="G49" i="1"/>
  <c r="F49" i="1"/>
  <c r="E49" i="1"/>
  <c r="D49" i="1"/>
  <c r="C49" i="1"/>
  <c r="B49" i="1"/>
  <c r="G48" i="1"/>
  <c r="G47" i="1"/>
  <c r="G45" i="1"/>
  <c r="F45" i="1"/>
  <c r="E45" i="1"/>
  <c r="E51" i="1" s="1"/>
  <c r="E55" i="1" s="1"/>
  <c r="D45" i="1"/>
  <c r="D51" i="1" s="1"/>
  <c r="D55" i="1" s="1"/>
  <c r="C45" i="1"/>
  <c r="B45" i="1"/>
  <c r="G44" i="1"/>
  <c r="G43" i="1"/>
  <c r="G42" i="1"/>
  <c r="G40" i="1"/>
  <c r="F40" i="1"/>
  <c r="E40" i="1"/>
  <c r="D40" i="1"/>
  <c r="C40" i="1"/>
  <c r="B40" i="1"/>
  <c r="G39" i="1"/>
  <c r="G38" i="1"/>
  <c r="G37" i="1"/>
  <c r="F35" i="1"/>
  <c r="E35" i="1"/>
  <c r="D35" i="1"/>
  <c r="C35" i="1"/>
  <c r="B35" i="1"/>
  <c r="G34" i="1"/>
  <c r="G33" i="1"/>
  <c r="G32" i="1"/>
  <c r="G35" i="1" s="1"/>
  <c r="G30" i="1"/>
  <c r="F30" i="1"/>
  <c r="E30" i="1"/>
  <c r="D30" i="1"/>
  <c r="C30" i="1"/>
  <c r="B30" i="1"/>
  <c r="G29" i="1"/>
  <c r="G28" i="1"/>
  <c r="G27" i="1"/>
  <c r="G25" i="1"/>
  <c r="F25" i="1"/>
  <c r="E25" i="1"/>
  <c r="D25" i="1"/>
  <c r="C25" i="1"/>
  <c r="B25" i="1"/>
  <c r="G24" i="1"/>
  <c r="G23" i="1"/>
  <c r="G22" i="1"/>
  <c r="G21" i="1"/>
  <c r="F19" i="1"/>
  <c r="E19" i="1"/>
  <c r="D19" i="1"/>
  <c r="C19" i="1"/>
  <c r="B19" i="1"/>
  <c r="G18" i="1"/>
  <c r="G19" i="1" s="1"/>
  <c r="G51" i="1" s="1"/>
  <c r="G55" i="1" s="1"/>
  <c r="G16" i="1"/>
  <c r="F16" i="1"/>
  <c r="E16" i="1"/>
  <c r="D16" i="1"/>
  <c r="C16" i="1"/>
  <c r="C51" i="1" s="1"/>
  <c r="C55" i="1" s="1"/>
  <c r="B16" i="1"/>
  <c r="B51" i="1" s="1"/>
  <c r="B55" i="1" s="1"/>
  <c r="G15" i="1"/>
  <c r="G14" i="1"/>
  <c r="G13" i="1"/>
  <c r="F9" i="1"/>
  <c r="E9" i="1"/>
  <c r="D9" i="1"/>
  <c r="C9" i="1"/>
  <c r="B9" i="1"/>
  <c r="G7" i="1"/>
  <c r="G9" i="1" s="1"/>
  <c r="G19" i="2" l="1"/>
  <c r="G21" i="2" s="1"/>
</calcChain>
</file>

<file path=xl/sharedStrings.xml><?xml version="1.0" encoding="utf-8"?>
<sst xmlns="http://schemas.openxmlformats.org/spreadsheetml/2006/main" count="89" uniqueCount="69">
  <si>
    <t>TURNER THEOLOGICAL SEMINARY</t>
  </si>
  <si>
    <t>Lilly Endowment — Exploring Christian Practices Initiative</t>
  </si>
  <si>
    <t>LINE-ITEM BUDGET  |  Grant Request: $2,500,000  |  Five-Year Period</t>
  </si>
  <si>
    <t>Budget Category / Line Item</t>
  </si>
  <si>
    <t>2026</t>
  </si>
  <si>
    <t>2027</t>
  </si>
  <si>
    <t>2028</t>
  </si>
  <si>
    <t>2029</t>
  </si>
  <si>
    <t>2030</t>
  </si>
  <si>
    <t>TOTAL</t>
  </si>
  <si>
    <t>INCOME</t>
  </si>
  <si>
    <t>Lilly Endowment Grant</t>
  </si>
  <si>
    <t>TOTAL INCOME</t>
  </si>
  <si>
    <t>EXPENSES</t>
  </si>
  <si>
    <t xml:space="preserve">  Personnel — Salaries</t>
  </si>
  <si>
    <t>Executive Director (60% FTE)</t>
  </si>
  <si>
    <t>Program Coordinator (100% FTE)</t>
  </si>
  <si>
    <t>Administrative Support (50% FTE)</t>
  </si>
  <si>
    <t xml:space="preserve">  TOTAL PERSONNEL (Salaries)</t>
  </si>
  <si>
    <t xml:space="preserve">  Fringe Benefits (20% of salaries)</t>
  </si>
  <si>
    <t>Fringe Benefits (health, retirement, payroll taxes)</t>
  </si>
  <si>
    <t xml:space="preserve">  TOTAL FRINGE BENEFITS</t>
  </si>
  <si>
    <t xml:space="preserve">  Program Activities</t>
  </si>
  <si>
    <t>JLWLA Cohort — mentorship gatherings, materials</t>
  </si>
  <si>
    <t>Sankofa CPE — clinical supervision and training costs</t>
  </si>
  <si>
    <t>TLCH Coaching cohort — facilitators and participant support</t>
  </si>
  <si>
    <t>Community engagement and retreat programming</t>
  </si>
  <si>
    <t xml:space="preserve">  TOTAL PROGRAM ACTIVITIES</t>
  </si>
  <si>
    <t xml:space="preserve">  Travel</t>
  </si>
  <si>
    <t>Staff travel — cohort coordination and partner visits</t>
  </si>
  <si>
    <t>Participant travel — retreats and formation experiences</t>
  </si>
  <si>
    <t>Dissemination and replication site visits</t>
  </si>
  <si>
    <t xml:space="preserve">  TOTAL TRAVEL</t>
  </si>
  <si>
    <t xml:space="preserve">  Consultants / Evaluation</t>
  </si>
  <si>
    <t>External evaluator — program assessment and reporting</t>
  </si>
  <si>
    <t>Theological consultants and guest facilitators</t>
  </si>
  <si>
    <t>Curriculum and resource development specialists</t>
  </si>
  <si>
    <t xml:space="preserve">  TOTAL CONSULTANTS</t>
  </si>
  <si>
    <t xml:space="preserve">  Equipment, Technology, and Materials</t>
  </si>
  <si>
    <t>Hybrid learning platform and LMS licensing</t>
  </si>
  <si>
    <t>Participant materials, curricula, and resources</t>
  </si>
  <si>
    <t>Office supplies and equipment</t>
  </si>
  <si>
    <t xml:space="preserve">  TOTAL TECHNOLOGY AND MATERIALS</t>
  </si>
  <si>
    <t xml:space="preserve">  Communications and Dissemination</t>
  </si>
  <si>
    <t>Program communications, reports, and publications</t>
  </si>
  <si>
    <t>Video documentation and digital media</t>
  </si>
  <si>
    <t>Replication toolkit and dissemination materials</t>
  </si>
  <si>
    <t xml:space="preserve">  TOTAL COMMUNICATIONS</t>
  </si>
  <si>
    <t xml:space="preserve">  Sustainability and Advancement</t>
  </si>
  <si>
    <t>Donor cultivation and fundraising strategy</t>
  </si>
  <si>
    <t>Continuation planning and institutional capacity</t>
  </si>
  <si>
    <t xml:space="preserve">  TOTAL SUSTAINABILITY</t>
  </si>
  <si>
    <t>DIRECT COSTS</t>
  </si>
  <si>
    <t xml:space="preserve">  Indirect Costs (6% of direct costs — grants admin, finance, compliance)</t>
  </si>
  <si>
    <t>Indirect costs</t>
  </si>
  <si>
    <t>TOTAL EXPENSES</t>
  </si>
  <si>
    <t>Grant Administrator</t>
  </si>
  <si>
    <t>Signature: ___________________________</t>
  </si>
  <si>
    <t>SUMMARY BUDGET  |  Grant Request: $2,500,000  |  Five-Year Period</t>
  </si>
  <si>
    <t>Personnel (Salaries)</t>
  </si>
  <si>
    <t>Fringe Benefits</t>
  </si>
  <si>
    <t>Program Activities</t>
  </si>
  <si>
    <t>Travel</t>
  </si>
  <si>
    <t>Consultants / Evaluation</t>
  </si>
  <si>
    <t>Equipment, Technology, and Materials</t>
  </si>
  <si>
    <t>Communications and Dissemination</t>
  </si>
  <si>
    <t>Sustainability and Advancement</t>
  </si>
  <si>
    <t>Indirect Costs (6% of direct costs)</t>
  </si>
  <si>
    <t>Finance: V.P/ Controller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</si>
</sst>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&quot;($&quot;#,##0\);\-"/>
  </numFmts>
  <fonts count="9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color rgb="FF374151"/>
      <name val="Arial"/>
      <family val="2"/>
    </font>
    <font>
      <b/>
      <sz val="14"/>
      <name val="Arial"/>
      <family val="2"/>
    </font>
    <font>
      <i/>
      <sz val="11"/>
      <name val="Arial"/>
      <family val="2"/>
    </font>
    <font>
      <b/>
      <sz val="10"/>
      <name val="Arial"/>
      <family val="2"/>
    </font>
    <font>
      <sz val="11"/>
      <name val="Calibri"/>
      <family val="2"/>
      <charset val="1"/>
    </font>
    <font>
      <b/>
      <sz val="11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/>
    <xf numFmtId="0" fontId="7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left" vertical="center" indent="1"/>
    </xf>
    <xf numFmtId="0" fontId="1" fillId="0" borderId="1" xfId="0" applyFont="1" applyFill="1" applyBorder="1" applyAlignment="1">
      <alignment vertical="center" wrapText="1" indent="2"/>
    </xf>
    <xf numFmtId="164" fontId="1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 indent="1"/>
    </xf>
    <xf numFmtId="164" fontId="5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 indent="1"/>
    </xf>
    <xf numFmtId="164" fontId="8" fillId="0" borderId="1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 indent="1"/>
    </xf>
    <xf numFmtId="164" fontId="8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Fill="1"/>
    <xf numFmtId="0" fontId="1" fillId="0" borderId="1" xfId="0" applyFont="1" applyFill="1" applyBorder="1" applyAlignment="1">
      <alignment vertical="center" wrapText="1" indent="3"/>
    </xf>
    <xf numFmtId="0" fontId="7" fillId="0" borderId="1" xfId="0" applyFont="1" applyFill="1" applyBorder="1" applyAlignment="1">
      <alignment vertical="center" indent="1"/>
    </xf>
    <xf numFmtId="164" fontId="7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/>
    <xf numFmtId="0" fontId="6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003366"/>
      <rgbColor rgb="FF339966"/>
      <rgbColor rgb="FF003300"/>
      <rgbColor rgb="FF1A1A2E"/>
      <rgbColor rgb="FF993300"/>
      <rgbColor rgb="FF993366"/>
      <rgbColor rgb="FF2E4057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tabSelected="1" zoomScaleNormal="100" workbookViewId="0">
      <pane xSplit="1" ySplit="5" topLeftCell="B43" activePane="bottomRight" state="frozen"/>
      <selection pane="topRight" activeCell="B1" sqref="B1"/>
      <selection pane="bottomLeft" activeCell="A6" sqref="A6"/>
      <selection pane="bottomRight" activeCell="C62" sqref="C62"/>
    </sheetView>
  </sheetViews>
  <sheetFormatPr defaultColWidth="8.7109375" defaultRowHeight="15" x14ac:dyDescent="0.25"/>
  <cols>
    <col min="1" max="1" width="41.140625" bestFit="1" customWidth="1"/>
    <col min="2" max="2" width="10.85546875" bestFit="1" customWidth="1"/>
    <col min="3" max="3" width="15" customWidth="1"/>
    <col min="4" max="4" width="16.140625" customWidth="1"/>
    <col min="5" max="5" width="10.85546875" bestFit="1" customWidth="1"/>
    <col min="6" max="6" width="14.28515625" customWidth="1"/>
    <col min="7" max="7" width="12.7109375" bestFit="1" customWidth="1"/>
  </cols>
  <sheetData>
    <row r="1" spans="1:7" ht="24" customHeight="1" x14ac:dyDescent="0.25">
      <c r="A1" s="2" t="s">
        <v>0</v>
      </c>
      <c r="B1" s="2"/>
      <c r="C1" s="2"/>
      <c r="D1" s="2"/>
      <c r="E1" s="2"/>
      <c r="F1" s="2"/>
      <c r="G1" s="2"/>
    </row>
    <row r="2" spans="1:7" x14ac:dyDescent="0.25">
      <c r="A2" s="17" t="s">
        <v>1</v>
      </c>
      <c r="B2" s="17"/>
      <c r="C2" s="17"/>
      <c r="D2" s="17"/>
      <c r="E2" s="17"/>
      <c r="F2" s="17"/>
      <c r="G2" s="17"/>
    </row>
    <row r="3" spans="1:7" ht="18" customHeight="1" x14ac:dyDescent="0.25">
      <c r="A3" s="4" t="s">
        <v>2</v>
      </c>
      <c r="B3" s="4"/>
      <c r="C3" s="4"/>
      <c r="D3" s="4"/>
      <c r="E3" s="4"/>
      <c r="F3" s="4"/>
      <c r="G3" s="4"/>
    </row>
    <row r="4" spans="1:7" x14ac:dyDescent="0.25">
      <c r="A4" s="5"/>
      <c r="B4" s="5"/>
      <c r="C4" s="5"/>
      <c r="D4" s="5"/>
      <c r="E4" s="5"/>
      <c r="F4" s="5"/>
      <c r="G4" s="5"/>
    </row>
    <row r="5" spans="1:7" ht="18" customHeight="1" x14ac:dyDescent="0.25">
      <c r="A5" s="6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</row>
    <row r="6" spans="1:7" ht="15.75" customHeight="1" x14ac:dyDescent="0.25">
      <c r="A6" s="8" t="s">
        <v>10</v>
      </c>
      <c r="B6" s="8"/>
      <c r="C6" s="8"/>
      <c r="D6" s="8"/>
      <c r="E6" s="8"/>
      <c r="F6" s="8"/>
      <c r="G6" s="8"/>
    </row>
    <row r="7" spans="1:7" x14ac:dyDescent="0.25">
      <c r="A7" s="9" t="s">
        <v>11</v>
      </c>
      <c r="B7" s="10">
        <v>500000</v>
      </c>
      <c r="C7" s="10">
        <v>500000</v>
      </c>
      <c r="D7" s="10">
        <v>500000</v>
      </c>
      <c r="E7" s="10">
        <v>500000</v>
      </c>
      <c r="F7" s="10">
        <v>500000</v>
      </c>
      <c r="G7" s="10">
        <f>SUM(B7:F7)</f>
        <v>2500000</v>
      </c>
    </row>
    <row r="8" spans="1:7" ht="6" customHeight="1" x14ac:dyDescent="0.25">
      <c r="A8" s="18"/>
      <c r="B8" s="18"/>
      <c r="C8" s="18"/>
      <c r="D8" s="18"/>
      <c r="E8" s="18"/>
      <c r="F8" s="18"/>
      <c r="G8" s="18"/>
    </row>
    <row r="9" spans="1:7" x14ac:dyDescent="0.25">
      <c r="A9" s="11" t="s">
        <v>12</v>
      </c>
      <c r="B9" s="12">
        <f t="shared" ref="B9:G9" si="0">B7</f>
        <v>500000</v>
      </c>
      <c r="C9" s="12">
        <f t="shared" si="0"/>
        <v>500000</v>
      </c>
      <c r="D9" s="12">
        <f t="shared" si="0"/>
        <v>500000</v>
      </c>
      <c r="E9" s="12">
        <f t="shared" si="0"/>
        <v>500000</v>
      </c>
      <c r="F9" s="12">
        <f t="shared" si="0"/>
        <v>500000</v>
      </c>
      <c r="G9" s="12">
        <f t="shared" si="0"/>
        <v>2500000</v>
      </c>
    </row>
    <row r="10" spans="1:7" x14ac:dyDescent="0.25">
      <c r="A10" s="5"/>
      <c r="B10" s="5"/>
      <c r="C10" s="5"/>
      <c r="D10" s="5"/>
      <c r="E10" s="5"/>
      <c r="F10" s="5"/>
      <c r="G10" s="5"/>
    </row>
    <row r="11" spans="1:7" ht="15.75" customHeight="1" x14ac:dyDescent="0.25">
      <c r="A11" s="8" t="s">
        <v>13</v>
      </c>
      <c r="B11" s="8"/>
      <c r="C11" s="8"/>
      <c r="D11" s="8"/>
      <c r="E11" s="8"/>
      <c r="F11" s="8"/>
      <c r="G11" s="8"/>
    </row>
    <row r="12" spans="1:7" ht="15.75" customHeight="1" x14ac:dyDescent="0.25">
      <c r="A12" s="8" t="s">
        <v>14</v>
      </c>
      <c r="B12" s="8"/>
      <c r="C12" s="8"/>
      <c r="D12" s="8"/>
      <c r="E12" s="8"/>
      <c r="F12" s="8"/>
      <c r="G12" s="8"/>
    </row>
    <row r="13" spans="1:7" x14ac:dyDescent="0.25">
      <c r="A13" s="19" t="s">
        <v>15</v>
      </c>
      <c r="B13" s="10">
        <v>101250</v>
      </c>
      <c r="C13" s="10">
        <v>94500</v>
      </c>
      <c r="D13" s="10">
        <v>87750</v>
      </c>
      <c r="E13" s="10">
        <v>81000</v>
      </c>
      <c r="F13" s="10">
        <v>74250</v>
      </c>
      <c r="G13" s="10">
        <f>SUM(B13:F13)</f>
        <v>438750</v>
      </c>
    </row>
    <row r="14" spans="1:7" x14ac:dyDescent="0.25">
      <c r="A14" s="19" t="s">
        <v>16</v>
      </c>
      <c r="B14" s="10">
        <v>83250</v>
      </c>
      <c r="C14" s="10">
        <v>77700</v>
      </c>
      <c r="D14" s="10">
        <v>72150</v>
      </c>
      <c r="E14" s="10">
        <v>66600</v>
      </c>
      <c r="F14" s="10">
        <v>61050</v>
      </c>
      <c r="G14" s="10">
        <f>SUM(B14:F14)</f>
        <v>360750</v>
      </c>
    </row>
    <row r="15" spans="1:7" x14ac:dyDescent="0.25">
      <c r="A15" s="19" t="s">
        <v>17</v>
      </c>
      <c r="B15" s="10">
        <v>40500</v>
      </c>
      <c r="C15" s="10">
        <v>37800</v>
      </c>
      <c r="D15" s="10">
        <v>35100</v>
      </c>
      <c r="E15" s="10">
        <v>32400</v>
      </c>
      <c r="F15" s="10">
        <v>29700</v>
      </c>
      <c r="G15" s="10">
        <f>SUM(B15:F15)</f>
        <v>175500</v>
      </c>
    </row>
    <row r="16" spans="1:7" x14ac:dyDescent="0.25">
      <c r="A16" s="11" t="s">
        <v>18</v>
      </c>
      <c r="B16" s="12">
        <f t="shared" ref="B16:G16" si="1">SUM(B13,B14,B15)</f>
        <v>225000</v>
      </c>
      <c r="C16" s="12">
        <f t="shared" si="1"/>
        <v>210000</v>
      </c>
      <c r="D16" s="12">
        <f t="shared" si="1"/>
        <v>195000</v>
      </c>
      <c r="E16" s="12">
        <f t="shared" si="1"/>
        <v>180000</v>
      </c>
      <c r="F16" s="12">
        <f t="shared" si="1"/>
        <v>165000</v>
      </c>
      <c r="G16" s="12">
        <f t="shared" si="1"/>
        <v>975000</v>
      </c>
    </row>
    <row r="17" spans="1:7" ht="15.75" customHeight="1" x14ac:dyDescent="0.25">
      <c r="A17" s="8" t="s">
        <v>19</v>
      </c>
      <c r="B17" s="8"/>
      <c r="C17" s="8"/>
      <c r="D17" s="8"/>
      <c r="E17" s="8"/>
      <c r="F17" s="8"/>
      <c r="G17" s="8"/>
    </row>
    <row r="18" spans="1:7" ht="25.5" x14ac:dyDescent="0.25">
      <c r="A18" s="19" t="s">
        <v>20</v>
      </c>
      <c r="B18" s="10">
        <v>45000</v>
      </c>
      <c r="C18" s="10">
        <v>42000</v>
      </c>
      <c r="D18" s="10">
        <v>39000</v>
      </c>
      <c r="E18" s="10">
        <v>36000</v>
      </c>
      <c r="F18" s="10">
        <v>33000</v>
      </c>
      <c r="G18" s="10">
        <f>SUM(B18:F18)</f>
        <v>195000</v>
      </c>
    </row>
    <row r="19" spans="1:7" x14ac:dyDescent="0.25">
      <c r="A19" s="11" t="s">
        <v>21</v>
      </c>
      <c r="B19" s="12">
        <f t="shared" ref="B19:G19" si="2">SUM(B18)</f>
        <v>45000</v>
      </c>
      <c r="C19" s="12">
        <f t="shared" si="2"/>
        <v>42000</v>
      </c>
      <c r="D19" s="12">
        <f t="shared" si="2"/>
        <v>39000</v>
      </c>
      <c r="E19" s="12">
        <f t="shared" si="2"/>
        <v>36000</v>
      </c>
      <c r="F19" s="12">
        <f t="shared" si="2"/>
        <v>33000</v>
      </c>
      <c r="G19" s="12">
        <f t="shared" si="2"/>
        <v>195000</v>
      </c>
    </row>
    <row r="20" spans="1:7" ht="15.75" customHeight="1" x14ac:dyDescent="0.25">
      <c r="A20" s="8" t="s">
        <v>22</v>
      </c>
      <c r="B20" s="8"/>
      <c r="C20" s="8"/>
      <c r="D20" s="8"/>
      <c r="E20" s="8"/>
      <c r="F20" s="8"/>
      <c r="G20" s="8"/>
    </row>
    <row r="21" spans="1:7" ht="25.5" x14ac:dyDescent="0.25">
      <c r="A21" s="19" t="s">
        <v>23</v>
      </c>
      <c r="B21" s="10">
        <v>35000</v>
      </c>
      <c r="C21" s="10">
        <v>31000</v>
      </c>
      <c r="D21" s="10">
        <v>28000</v>
      </c>
      <c r="E21" s="10">
        <v>25000</v>
      </c>
      <c r="F21" s="10">
        <v>21000</v>
      </c>
      <c r="G21" s="10">
        <f>SUM(B21:F21)</f>
        <v>140000</v>
      </c>
    </row>
    <row r="22" spans="1:7" ht="25.5" x14ac:dyDescent="0.25">
      <c r="A22" s="19" t="s">
        <v>24</v>
      </c>
      <c r="B22" s="10">
        <v>45000</v>
      </c>
      <c r="C22" s="10">
        <v>40000</v>
      </c>
      <c r="D22" s="10">
        <v>37000</v>
      </c>
      <c r="E22" s="10">
        <v>35000</v>
      </c>
      <c r="F22" s="10">
        <v>28000</v>
      </c>
      <c r="G22" s="10">
        <f>SUM(B22:F22)</f>
        <v>185000</v>
      </c>
    </row>
    <row r="23" spans="1:7" ht="25.5" x14ac:dyDescent="0.25">
      <c r="A23" s="19" t="s">
        <v>25</v>
      </c>
      <c r="B23" s="10">
        <v>30000</v>
      </c>
      <c r="C23" s="10">
        <v>27000</v>
      </c>
      <c r="D23" s="10">
        <v>24000</v>
      </c>
      <c r="E23" s="10">
        <v>22000</v>
      </c>
      <c r="F23" s="10">
        <v>18000</v>
      </c>
      <c r="G23" s="10">
        <f>SUM(B23:F23)</f>
        <v>121000</v>
      </c>
    </row>
    <row r="24" spans="1:7" ht="25.5" x14ac:dyDescent="0.25">
      <c r="A24" s="19" t="s">
        <v>26</v>
      </c>
      <c r="B24" s="10">
        <v>20000</v>
      </c>
      <c r="C24" s="10">
        <v>17000</v>
      </c>
      <c r="D24" s="10">
        <v>16000</v>
      </c>
      <c r="E24" s="10">
        <v>13000</v>
      </c>
      <c r="F24" s="10">
        <v>13000</v>
      </c>
      <c r="G24" s="10">
        <f>SUM(B24:F24)</f>
        <v>79000</v>
      </c>
    </row>
    <row r="25" spans="1:7" x14ac:dyDescent="0.25">
      <c r="A25" s="11" t="s">
        <v>27</v>
      </c>
      <c r="B25" s="12">
        <f t="shared" ref="B25:G25" si="3">SUM(B21,B22,B23,B24)</f>
        <v>130000</v>
      </c>
      <c r="C25" s="12">
        <f t="shared" si="3"/>
        <v>115000</v>
      </c>
      <c r="D25" s="12">
        <f t="shared" si="3"/>
        <v>105000</v>
      </c>
      <c r="E25" s="12">
        <f t="shared" si="3"/>
        <v>95000</v>
      </c>
      <c r="F25" s="12">
        <f t="shared" si="3"/>
        <v>80000</v>
      </c>
      <c r="G25" s="12">
        <f t="shared" si="3"/>
        <v>525000</v>
      </c>
    </row>
    <row r="26" spans="1:7" ht="15.75" customHeight="1" x14ac:dyDescent="0.25">
      <c r="A26" s="8" t="s">
        <v>28</v>
      </c>
      <c r="B26" s="8"/>
      <c r="C26" s="8"/>
      <c r="D26" s="8"/>
      <c r="E26" s="8"/>
      <c r="F26" s="8"/>
      <c r="G26" s="8"/>
    </row>
    <row r="27" spans="1:7" ht="25.5" x14ac:dyDescent="0.25">
      <c r="A27" s="19" t="s">
        <v>29</v>
      </c>
      <c r="B27" s="10">
        <v>15000</v>
      </c>
      <c r="C27" s="10">
        <v>13000</v>
      </c>
      <c r="D27" s="10">
        <v>12000</v>
      </c>
      <c r="E27" s="10">
        <v>11000</v>
      </c>
      <c r="F27" s="10">
        <v>10000</v>
      </c>
      <c r="G27" s="10">
        <f>SUM(B27:F27)</f>
        <v>61000</v>
      </c>
    </row>
    <row r="28" spans="1:7" ht="25.5" x14ac:dyDescent="0.25">
      <c r="A28" s="19" t="s">
        <v>30</v>
      </c>
      <c r="B28" s="10">
        <v>12000</v>
      </c>
      <c r="C28" s="10">
        <v>10000</v>
      </c>
      <c r="D28" s="10">
        <v>10000</v>
      </c>
      <c r="E28" s="10">
        <v>9000</v>
      </c>
      <c r="F28" s="10">
        <v>8000</v>
      </c>
      <c r="G28" s="10">
        <f>SUM(B28:F28)</f>
        <v>49000</v>
      </c>
    </row>
    <row r="29" spans="1:7" x14ac:dyDescent="0.25">
      <c r="A29" s="19" t="s">
        <v>31</v>
      </c>
      <c r="B29" s="10">
        <v>8000</v>
      </c>
      <c r="C29" s="10">
        <v>7000</v>
      </c>
      <c r="D29" s="10">
        <v>6000</v>
      </c>
      <c r="E29" s="10">
        <v>5000</v>
      </c>
      <c r="F29" s="10">
        <v>4000</v>
      </c>
      <c r="G29" s="10">
        <f>SUM(B29:F29)</f>
        <v>30000</v>
      </c>
    </row>
    <row r="30" spans="1:7" x14ac:dyDescent="0.25">
      <c r="A30" s="11" t="s">
        <v>32</v>
      </c>
      <c r="B30" s="12">
        <f t="shared" ref="B30:G30" si="4">SUM(B27,B28,B29)</f>
        <v>35000</v>
      </c>
      <c r="C30" s="12">
        <f t="shared" si="4"/>
        <v>30000</v>
      </c>
      <c r="D30" s="12">
        <f t="shared" si="4"/>
        <v>28000</v>
      </c>
      <c r="E30" s="12">
        <f t="shared" si="4"/>
        <v>25000</v>
      </c>
      <c r="F30" s="12">
        <f t="shared" si="4"/>
        <v>22000</v>
      </c>
      <c r="G30" s="12">
        <f t="shared" si="4"/>
        <v>140000</v>
      </c>
    </row>
    <row r="31" spans="1:7" ht="15.75" customHeight="1" x14ac:dyDescent="0.25">
      <c r="A31" s="8" t="s">
        <v>33</v>
      </c>
      <c r="B31" s="8"/>
      <c r="C31" s="8"/>
      <c r="D31" s="8"/>
      <c r="E31" s="8"/>
      <c r="F31" s="8"/>
      <c r="G31" s="8"/>
    </row>
    <row r="32" spans="1:7" ht="25.5" x14ac:dyDescent="0.25">
      <c r="A32" s="19" t="s">
        <v>34</v>
      </c>
      <c r="B32" s="10">
        <v>25000</v>
      </c>
      <c r="C32" s="10">
        <v>22000</v>
      </c>
      <c r="D32" s="10">
        <v>20000</v>
      </c>
      <c r="E32" s="10">
        <v>18000</v>
      </c>
      <c r="F32" s="10">
        <v>13000</v>
      </c>
      <c r="G32" s="10">
        <f>SUM(B32:F32)</f>
        <v>98000</v>
      </c>
    </row>
    <row r="33" spans="1:7" ht="25.5" x14ac:dyDescent="0.25">
      <c r="A33" s="19" t="s">
        <v>35</v>
      </c>
      <c r="B33" s="10">
        <v>20000</v>
      </c>
      <c r="C33" s="10">
        <v>18000</v>
      </c>
      <c r="D33" s="10">
        <v>15000</v>
      </c>
      <c r="E33" s="10">
        <v>13000</v>
      </c>
      <c r="F33" s="10">
        <v>10000</v>
      </c>
      <c r="G33" s="10">
        <f>SUM(B33:F33)</f>
        <v>76000</v>
      </c>
    </row>
    <row r="34" spans="1:7" ht="25.5" x14ac:dyDescent="0.25">
      <c r="A34" s="19" t="s">
        <v>36</v>
      </c>
      <c r="B34" s="10">
        <v>10000</v>
      </c>
      <c r="C34" s="10">
        <v>10000</v>
      </c>
      <c r="D34" s="10">
        <v>10000</v>
      </c>
      <c r="E34" s="10">
        <v>9000</v>
      </c>
      <c r="F34" s="10">
        <v>7000</v>
      </c>
      <c r="G34" s="10">
        <f>SUM(B34:F34)</f>
        <v>46000</v>
      </c>
    </row>
    <row r="35" spans="1:7" x14ac:dyDescent="0.25">
      <c r="A35" s="11" t="s">
        <v>37</v>
      </c>
      <c r="B35" s="12">
        <f t="shared" ref="B35:G35" si="5">SUM(B32,B33,B34)</f>
        <v>55000</v>
      </c>
      <c r="C35" s="12">
        <f t="shared" si="5"/>
        <v>50000</v>
      </c>
      <c r="D35" s="12">
        <f t="shared" si="5"/>
        <v>45000</v>
      </c>
      <c r="E35" s="12">
        <f t="shared" si="5"/>
        <v>40000</v>
      </c>
      <c r="F35" s="12">
        <f t="shared" si="5"/>
        <v>30000</v>
      </c>
      <c r="G35" s="12">
        <f t="shared" si="5"/>
        <v>220000</v>
      </c>
    </row>
    <row r="36" spans="1:7" ht="15.75" customHeight="1" x14ac:dyDescent="0.25">
      <c r="A36" s="8" t="s">
        <v>38</v>
      </c>
      <c r="B36" s="8"/>
      <c r="C36" s="8"/>
      <c r="D36" s="8"/>
      <c r="E36" s="8"/>
      <c r="F36" s="8"/>
      <c r="G36" s="8"/>
    </row>
    <row r="37" spans="1:7" x14ac:dyDescent="0.25">
      <c r="A37" s="19" t="s">
        <v>39</v>
      </c>
      <c r="B37" s="10">
        <v>15000</v>
      </c>
      <c r="C37" s="10">
        <v>10000</v>
      </c>
      <c r="D37" s="10">
        <v>8000</v>
      </c>
      <c r="E37" s="10">
        <v>6000</v>
      </c>
      <c r="F37" s="10">
        <v>6000</v>
      </c>
      <c r="G37" s="10">
        <f>SUM(B37:F37)</f>
        <v>45000</v>
      </c>
    </row>
    <row r="38" spans="1:7" ht="25.5" x14ac:dyDescent="0.25">
      <c r="A38" s="19" t="s">
        <v>40</v>
      </c>
      <c r="B38" s="10">
        <v>12000</v>
      </c>
      <c r="C38" s="10">
        <v>9000</v>
      </c>
      <c r="D38" s="10">
        <v>8000</v>
      </c>
      <c r="E38" s="10">
        <v>6000</v>
      </c>
      <c r="F38" s="10">
        <v>6000</v>
      </c>
      <c r="G38" s="10">
        <f>SUM(B38:F38)</f>
        <v>41000</v>
      </c>
    </row>
    <row r="39" spans="1:7" x14ac:dyDescent="0.25">
      <c r="A39" s="19" t="s">
        <v>41</v>
      </c>
      <c r="B39" s="10">
        <v>8000</v>
      </c>
      <c r="C39" s="10">
        <v>6000</v>
      </c>
      <c r="D39" s="10">
        <v>4000</v>
      </c>
      <c r="E39" s="10">
        <v>3000</v>
      </c>
      <c r="F39" s="10">
        <v>3000</v>
      </c>
      <c r="G39" s="10">
        <f>SUM(B39:F39)</f>
        <v>24000</v>
      </c>
    </row>
    <row r="40" spans="1:7" x14ac:dyDescent="0.25">
      <c r="A40" s="11" t="s">
        <v>42</v>
      </c>
      <c r="B40" s="12">
        <f t="shared" ref="B40:G40" si="6">SUM(B37,B38,B39)</f>
        <v>35000</v>
      </c>
      <c r="C40" s="12">
        <f t="shared" si="6"/>
        <v>25000</v>
      </c>
      <c r="D40" s="12">
        <f t="shared" si="6"/>
        <v>20000</v>
      </c>
      <c r="E40" s="12">
        <f t="shared" si="6"/>
        <v>15000</v>
      </c>
      <c r="F40" s="12">
        <f t="shared" si="6"/>
        <v>15000</v>
      </c>
      <c r="G40" s="12">
        <f t="shared" si="6"/>
        <v>110000</v>
      </c>
    </row>
    <row r="41" spans="1:7" ht="15.75" customHeight="1" x14ac:dyDescent="0.25">
      <c r="A41" s="8" t="s">
        <v>43</v>
      </c>
      <c r="B41" s="8"/>
      <c r="C41" s="8"/>
      <c r="D41" s="8"/>
      <c r="E41" s="8"/>
      <c r="F41" s="8"/>
      <c r="G41" s="8"/>
    </row>
    <row r="42" spans="1:7" ht="25.5" x14ac:dyDescent="0.25">
      <c r="A42" s="19" t="s">
        <v>44</v>
      </c>
      <c r="B42" s="10">
        <v>10000</v>
      </c>
      <c r="C42" s="10">
        <v>9000</v>
      </c>
      <c r="D42" s="10">
        <v>7000</v>
      </c>
      <c r="E42" s="10">
        <v>6000</v>
      </c>
      <c r="F42" s="10">
        <v>6000</v>
      </c>
      <c r="G42" s="10">
        <f>SUM(B42:F42)</f>
        <v>38000</v>
      </c>
    </row>
    <row r="43" spans="1:7" x14ac:dyDescent="0.25">
      <c r="A43" s="19" t="s">
        <v>45</v>
      </c>
      <c r="B43" s="10">
        <v>9000</v>
      </c>
      <c r="C43" s="10">
        <v>8000</v>
      </c>
      <c r="D43" s="10">
        <v>7000</v>
      </c>
      <c r="E43" s="10">
        <v>6000</v>
      </c>
      <c r="F43" s="10">
        <v>6000</v>
      </c>
      <c r="G43" s="10">
        <f>SUM(B43:F43)</f>
        <v>36000</v>
      </c>
    </row>
    <row r="44" spans="1:7" ht="25.5" x14ac:dyDescent="0.25">
      <c r="A44" s="19" t="s">
        <v>46</v>
      </c>
      <c r="B44" s="10">
        <v>6000</v>
      </c>
      <c r="C44" s="10">
        <v>5000</v>
      </c>
      <c r="D44" s="10">
        <v>4000</v>
      </c>
      <c r="E44" s="10">
        <v>3000</v>
      </c>
      <c r="F44" s="10">
        <v>3000</v>
      </c>
      <c r="G44" s="10">
        <f>SUM(B44:F44)</f>
        <v>21000</v>
      </c>
    </row>
    <row r="45" spans="1:7" x14ac:dyDescent="0.25">
      <c r="A45" s="11" t="s">
        <v>47</v>
      </c>
      <c r="B45" s="12">
        <f t="shared" ref="B45:G45" si="7">SUM(B42,B43,B44)</f>
        <v>25000</v>
      </c>
      <c r="C45" s="12">
        <f t="shared" si="7"/>
        <v>22000</v>
      </c>
      <c r="D45" s="12">
        <f t="shared" si="7"/>
        <v>18000</v>
      </c>
      <c r="E45" s="12">
        <f t="shared" si="7"/>
        <v>15000</v>
      </c>
      <c r="F45" s="12">
        <f t="shared" si="7"/>
        <v>15000</v>
      </c>
      <c r="G45" s="12">
        <f t="shared" si="7"/>
        <v>95000</v>
      </c>
    </row>
    <row r="46" spans="1:7" ht="15.75" customHeight="1" x14ac:dyDescent="0.25">
      <c r="A46" s="8" t="s">
        <v>48</v>
      </c>
      <c r="B46" s="8"/>
      <c r="C46" s="8"/>
      <c r="D46" s="8"/>
      <c r="E46" s="8"/>
      <c r="F46" s="8"/>
      <c r="G46" s="8"/>
    </row>
    <row r="47" spans="1:7" x14ac:dyDescent="0.25">
      <c r="A47" s="19" t="s">
        <v>49</v>
      </c>
      <c r="B47" s="10">
        <v>5000</v>
      </c>
      <c r="C47" s="10">
        <v>7000</v>
      </c>
      <c r="D47" s="10">
        <v>10000</v>
      </c>
      <c r="E47" s="10">
        <v>11000</v>
      </c>
      <c r="F47" s="10">
        <v>11000</v>
      </c>
      <c r="G47" s="10">
        <f>SUM(B47:F47)</f>
        <v>44000</v>
      </c>
    </row>
    <row r="48" spans="1:7" ht="25.5" x14ac:dyDescent="0.25">
      <c r="A48" s="19" t="s">
        <v>50</v>
      </c>
      <c r="B48" s="10">
        <v>5000</v>
      </c>
      <c r="C48" s="10">
        <v>8000</v>
      </c>
      <c r="D48" s="10">
        <v>10000</v>
      </c>
      <c r="E48" s="10">
        <v>11000</v>
      </c>
      <c r="F48" s="10">
        <v>12000</v>
      </c>
      <c r="G48" s="10">
        <f>SUM(B48:F48)</f>
        <v>46000</v>
      </c>
    </row>
    <row r="49" spans="1:7" x14ac:dyDescent="0.25">
      <c r="A49" s="11" t="s">
        <v>51</v>
      </c>
      <c r="B49" s="12">
        <f t="shared" ref="B49:G49" si="8">SUM(B47,B48)</f>
        <v>10000</v>
      </c>
      <c r="C49" s="12">
        <f t="shared" si="8"/>
        <v>15000</v>
      </c>
      <c r="D49" s="12">
        <f t="shared" si="8"/>
        <v>20000</v>
      </c>
      <c r="E49" s="12">
        <f t="shared" si="8"/>
        <v>22000</v>
      </c>
      <c r="F49" s="12">
        <f t="shared" si="8"/>
        <v>23000</v>
      </c>
      <c r="G49" s="12">
        <f t="shared" si="8"/>
        <v>90000</v>
      </c>
    </row>
    <row r="50" spans="1:7" x14ac:dyDescent="0.25">
      <c r="A50" s="5"/>
      <c r="B50" s="5"/>
      <c r="C50" s="5"/>
      <c r="D50" s="5"/>
      <c r="E50" s="5"/>
      <c r="F50" s="5"/>
      <c r="G50" s="5"/>
    </row>
    <row r="51" spans="1:7" x14ac:dyDescent="0.25">
      <c r="A51" s="20" t="s">
        <v>52</v>
      </c>
      <c r="B51" s="21">
        <f t="shared" ref="B51:G51" si="9">SUM(B16,B19,B25,B30,B35,B40,B45,B49)</f>
        <v>560000</v>
      </c>
      <c r="C51" s="21">
        <f t="shared" si="9"/>
        <v>509000</v>
      </c>
      <c r="D51" s="21">
        <f t="shared" si="9"/>
        <v>470000</v>
      </c>
      <c r="E51" s="21">
        <f t="shared" si="9"/>
        <v>428000</v>
      </c>
      <c r="F51" s="21">
        <f t="shared" si="9"/>
        <v>383000</v>
      </c>
      <c r="G51" s="21">
        <f t="shared" si="9"/>
        <v>2350000</v>
      </c>
    </row>
    <row r="52" spans="1:7" ht="15.75" customHeight="1" x14ac:dyDescent="0.25">
      <c r="A52" s="8" t="s">
        <v>53</v>
      </c>
      <c r="B52" s="8"/>
      <c r="C52" s="8"/>
      <c r="D52" s="8"/>
      <c r="E52" s="8"/>
      <c r="F52" s="8"/>
      <c r="G52" s="8"/>
    </row>
    <row r="53" spans="1:7" x14ac:dyDescent="0.25">
      <c r="A53" s="19" t="s">
        <v>54</v>
      </c>
      <c r="B53" s="10">
        <v>15000</v>
      </c>
      <c r="C53" s="10">
        <v>16000</v>
      </c>
      <c r="D53" s="10">
        <v>30000</v>
      </c>
      <c r="E53" s="10">
        <v>32000</v>
      </c>
      <c r="F53" s="10">
        <v>57000</v>
      </c>
      <c r="G53" s="10">
        <f>SUM(B53:F53)</f>
        <v>150000</v>
      </c>
    </row>
    <row r="54" spans="1:7" x14ac:dyDescent="0.25">
      <c r="A54" s="5"/>
      <c r="B54" s="5"/>
      <c r="C54" s="5"/>
      <c r="D54" s="5"/>
      <c r="E54" s="5"/>
      <c r="F54" s="5"/>
      <c r="G54" s="5"/>
    </row>
    <row r="55" spans="1:7" ht="19.5" customHeight="1" x14ac:dyDescent="0.25">
      <c r="A55" s="13" t="s">
        <v>55</v>
      </c>
      <c r="B55" s="14">
        <f t="shared" ref="B55:G55" si="10">B51+B53</f>
        <v>575000</v>
      </c>
      <c r="C55" s="14">
        <f t="shared" si="10"/>
        <v>525000</v>
      </c>
      <c r="D55" s="14">
        <f t="shared" si="10"/>
        <v>500000</v>
      </c>
      <c r="E55" s="14">
        <f t="shared" si="10"/>
        <v>460000</v>
      </c>
      <c r="F55" s="14">
        <f t="shared" si="10"/>
        <v>440000</v>
      </c>
      <c r="G55" s="14">
        <f t="shared" si="10"/>
        <v>2500000</v>
      </c>
    </row>
    <row r="56" spans="1:7" x14ac:dyDescent="0.25">
      <c r="A56" s="5"/>
      <c r="B56" s="5"/>
      <c r="C56" s="5"/>
      <c r="D56" s="5"/>
      <c r="E56" s="5"/>
      <c r="F56" s="5"/>
      <c r="G56" s="5"/>
    </row>
    <row r="57" spans="1:7" x14ac:dyDescent="0.25">
      <c r="A57" s="22"/>
      <c r="B57" s="22"/>
      <c r="C57" s="22"/>
      <c r="D57" s="22"/>
      <c r="E57" s="22"/>
      <c r="F57" s="22"/>
      <c r="G57" s="22"/>
    </row>
    <row r="58" spans="1:7" x14ac:dyDescent="0.25">
      <c r="A58" s="22"/>
      <c r="B58" s="22"/>
      <c r="C58" s="22"/>
      <c r="D58" s="22"/>
      <c r="E58" s="22"/>
      <c r="F58" s="22"/>
      <c r="G58" s="22"/>
    </row>
    <row r="59" spans="1:7" x14ac:dyDescent="0.25">
      <c r="A59" s="22"/>
      <c r="B59" s="22"/>
      <c r="C59" s="22"/>
      <c r="D59" s="22"/>
      <c r="E59" s="22"/>
      <c r="F59" s="22"/>
      <c r="G59" s="22"/>
    </row>
    <row r="60" spans="1:7" x14ac:dyDescent="0.25">
      <c r="A60" s="5"/>
      <c r="B60" s="5"/>
      <c r="C60" s="5"/>
      <c r="D60" s="5"/>
      <c r="E60" s="5"/>
      <c r="F60" s="5"/>
      <c r="G60" s="5"/>
    </row>
    <row r="61" spans="1:7" x14ac:dyDescent="0.25">
      <c r="A61" s="23" t="s">
        <v>57</v>
      </c>
      <c r="B61" s="23"/>
      <c r="C61" s="5"/>
      <c r="D61" s="23" t="s">
        <v>57</v>
      </c>
      <c r="E61" s="23"/>
      <c r="F61" s="23"/>
      <c r="G61" s="5"/>
    </row>
    <row r="62" spans="1:7" x14ac:dyDescent="0.25">
      <c r="A62" s="5"/>
      <c r="B62" s="5"/>
      <c r="C62" s="5"/>
      <c r="D62" s="5"/>
      <c r="E62" s="5"/>
      <c r="F62" s="5"/>
      <c r="G62" s="5"/>
    </row>
    <row r="63" spans="1:7" x14ac:dyDescent="0.25">
      <c r="A63" s="24" t="s">
        <v>56</v>
      </c>
      <c r="B63" s="24"/>
      <c r="C63" s="5"/>
      <c r="D63" s="24" t="s">
        <v>68</v>
      </c>
      <c r="E63" s="24"/>
      <c r="F63" s="24"/>
      <c r="G63" s="5"/>
    </row>
    <row r="64" spans="1:7" x14ac:dyDescent="0.25">
      <c r="A64" s="5"/>
      <c r="B64" s="5"/>
      <c r="C64" s="5"/>
      <c r="D64" s="5"/>
      <c r="E64" s="5"/>
      <c r="F64" s="5"/>
      <c r="G64" s="5"/>
    </row>
  </sheetData>
  <mergeCells count="19">
    <mergeCell ref="A61:B61"/>
    <mergeCell ref="A63:B63"/>
    <mergeCell ref="D61:F61"/>
    <mergeCell ref="D63:F63"/>
    <mergeCell ref="A31:G31"/>
    <mergeCell ref="A36:G36"/>
    <mergeCell ref="A41:G41"/>
    <mergeCell ref="A46:G46"/>
    <mergeCell ref="A52:G52"/>
    <mergeCell ref="A11:G11"/>
    <mergeCell ref="A12:G12"/>
    <mergeCell ref="A17:G17"/>
    <mergeCell ref="A20:G20"/>
    <mergeCell ref="A26:G26"/>
    <mergeCell ref="A1:G1"/>
    <mergeCell ref="A2:G2"/>
    <mergeCell ref="A3:G3"/>
    <mergeCell ref="A6:G6"/>
    <mergeCell ref="A8:G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27" sqref="D27:F29"/>
    </sheetView>
  </sheetViews>
  <sheetFormatPr defaultColWidth="8.7109375" defaultRowHeight="15" x14ac:dyDescent="0.25"/>
  <cols>
    <col min="1" max="1" width="38" customWidth="1"/>
    <col min="2" max="7" width="14" customWidth="1"/>
  </cols>
  <sheetData>
    <row r="1" spans="1:7" ht="24" customHeight="1" x14ac:dyDescent="0.25">
      <c r="A1" s="2" t="s">
        <v>0</v>
      </c>
      <c r="B1" s="2"/>
      <c r="C1" s="2"/>
      <c r="D1" s="2"/>
      <c r="E1" s="2"/>
      <c r="F1" s="2"/>
      <c r="G1" s="2"/>
    </row>
    <row r="2" spans="1:7" x14ac:dyDescent="0.25">
      <c r="A2" s="3" t="s">
        <v>1</v>
      </c>
      <c r="B2" s="3"/>
      <c r="C2" s="3"/>
      <c r="D2" s="3"/>
      <c r="E2" s="3"/>
      <c r="F2" s="3"/>
      <c r="G2" s="3"/>
    </row>
    <row r="3" spans="1:7" x14ac:dyDescent="0.25">
      <c r="A3" s="4" t="s">
        <v>58</v>
      </c>
      <c r="B3" s="4"/>
      <c r="C3" s="4"/>
      <c r="D3" s="4"/>
      <c r="E3" s="4"/>
      <c r="F3" s="4"/>
      <c r="G3" s="4"/>
    </row>
    <row r="4" spans="1:7" x14ac:dyDescent="0.25">
      <c r="A4" s="5"/>
      <c r="B4" s="5"/>
      <c r="C4" s="5"/>
      <c r="D4" s="5"/>
      <c r="E4" s="5"/>
      <c r="F4" s="5"/>
      <c r="G4" s="5"/>
    </row>
    <row r="5" spans="1:7" x14ac:dyDescent="0.25">
      <c r="A5" s="6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</row>
    <row r="6" spans="1:7" ht="15.75" customHeight="1" x14ac:dyDescent="0.25">
      <c r="A6" s="8" t="s">
        <v>10</v>
      </c>
      <c r="B6" s="8"/>
      <c r="C6" s="8"/>
      <c r="D6" s="8"/>
      <c r="E6" s="8"/>
      <c r="F6" s="8"/>
      <c r="G6" s="8"/>
    </row>
    <row r="7" spans="1:7" x14ac:dyDescent="0.25">
      <c r="A7" s="9" t="s">
        <v>11</v>
      </c>
      <c r="B7" s="10">
        <v>500000</v>
      </c>
      <c r="C7" s="10">
        <v>500000</v>
      </c>
      <c r="D7" s="10">
        <v>500000</v>
      </c>
      <c r="E7" s="10">
        <v>500000</v>
      </c>
      <c r="F7" s="10">
        <v>500000</v>
      </c>
      <c r="G7" s="10">
        <f>SUM(B7:F7)</f>
        <v>2500000</v>
      </c>
    </row>
    <row r="8" spans="1:7" x14ac:dyDescent="0.25">
      <c r="A8" s="11" t="s">
        <v>12</v>
      </c>
      <c r="B8" s="12">
        <f t="shared" ref="B8:G8" si="0">B7</f>
        <v>500000</v>
      </c>
      <c r="C8" s="12">
        <f t="shared" si="0"/>
        <v>500000</v>
      </c>
      <c r="D8" s="12">
        <f t="shared" si="0"/>
        <v>500000</v>
      </c>
      <c r="E8" s="12">
        <f t="shared" si="0"/>
        <v>500000</v>
      </c>
      <c r="F8" s="12">
        <f t="shared" si="0"/>
        <v>500000</v>
      </c>
      <c r="G8" s="12">
        <f t="shared" si="0"/>
        <v>2500000</v>
      </c>
    </row>
    <row r="9" spans="1:7" x14ac:dyDescent="0.25">
      <c r="A9" s="5"/>
      <c r="B9" s="5"/>
      <c r="C9" s="5"/>
      <c r="D9" s="5"/>
      <c r="E9" s="5"/>
      <c r="F9" s="5"/>
      <c r="G9" s="5"/>
    </row>
    <row r="10" spans="1:7" ht="15.75" customHeight="1" x14ac:dyDescent="0.25">
      <c r="A10" s="8" t="s">
        <v>13</v>
      </c>
      <c r="B10" s="8"/>
      <c r="C10" s="8"/>
      <c r="D10" s="8"/>
      <c r="E10" s="8"/>
      <c r="F10" s="8"/>
      <c r="G10" s="8"/>
    </row>
    <row r="11" spans="1:7" x14ac:dyDescent="0.25">
      <c r="A11" s="9" t="s">
        <v>59</v>
      </c>
      <c r="B11" s="10">
        <v>225000</v>
      </c>
      <c r="C11" s="10">
        <v>210000</v>
      </c>
      <c r="D11" s="10">
        <v>195000</v>
      </c>
      <c r="E11" s="10">
        <v>180000</v>
      </c>
      <c r="F11" s="10">
        <v>165000</v>
      </c>
      <c r="G11" s="10">
        <f t="shared" ref="G11:G18" si="1">SUM(B11:F11)</f>
        <v>975000</v>
      </c>
    </row>
    <row r="12" spans="1:7" x14ac:dyDescent="0.25">
      <c r="A12" s="9" t="s">
        <v>60</v>
      </c>
      <c r="B12" s="10">
        <v>45000</v>
      </c>
      <c r="C12" s="10">
        <v>42000</v>
      </c>
      <c r="D12" s="10">
        <v>39000</v>
      </c>
      <c r="E12" s="10">
        <v>36000</v>
      </c>
      <c r="F12" s="10">
        <v>33000</v>
      </c>
      <c r="G12" s="10">
        <f t="shared" si="1"/>
        <v>195000</v>
      </c>
    </row>
    <row r="13" spans="1:7" x14ac:dyDescent="0.25">
      <c r="A13" s="9" t="s">
        <v>61</v>
      </c>
      <c r="B13" s="10">
        <v>130000</v>
      </c>
      <c r="C13" s="10">
        <v>115000</v>
      </c>
      <c r="D13" s="10">
        <v>105000</v>
      </c>
      <c r="E13" s="10">
        <v>95000</v>
      </c>
      <c r="F13" s="10">
        <v>80000</v>
      </c>
      <c r="G13" s="10">
        <f t="shared" si="1"/>
        <v>525000</v>
      </c>
    </row>
    <row r="14" spans="1:7" x14ac:dyDescent="0.25">
      <c r="A14" s="9" t="s">
        <v>62</v>
      </c>
      <c r="B14" s="10">
        <v>35000</v>
      </c>
      <c r="C14" s="10">
        <v>30000</v>
      </c>
      <c r="D14" s="10">
        <v>28000</v>
      </c>
      <c r="E14" s="10">
        <v>25000</v>
      </c>
      <c r="F14" s="10">
        <v>22000</v>
      </c>
      <c r="G14" s="10">
        <f t="shared" si="1"/>
        <v>140000</v>
      </c>
    </row>
    <row r="15" spans="1:7" x14ac:dyDescent="0.25">
      <c r="A15" s="9" t="s">
        <v>63</v>
      </c>
      <c r="B15" s="10">
        <v>55000</v>
      </c>
      <c r="C15" s="10">
        <v>50000</v>
      </c>
      <c r="D15" s="10">
        <v>45000</v>
      </c>
      <c r="E15" s="10">
        <v>40000</v>
      </c>
      <c r="F15" s="10">
        <v>30000</v>
      </c>
      <c r="G15" s="10">
        <f t="shared" si="1"/>
        <v>220000</v>
      </c>
    </row>
    <row r="16" spans="1:7" x14ac:dyDescent="0.25">
      <c r="A16" s="9" t="s">
        <v>64</v>
      </c>
      <c r="B16" s="10">
        <v>35000</v>
      </c>
      <c r="C16" s="10">
        <v>25000</v>
      </c>
      <c r="D16" s="10">
        <v>20000</v>
      </c>
      <c r="E16" s="10">
        <v>15000</v>
      </c>
      <c r="F16" s="10">
        <v>15000</v>
      </c>
      <c r="G16" s="10">
        <f t="shared" si="1"/>
        <v>110000</v>
      </c>
    </row>
    <row r="17" spans="1:7" x14ac:dyDescent="0.25">
      <c r="A17" s="9" t="s">
        <v>65</v>
      </c>
      <c r="B17" s="10">
        <v>25000</v>
      </c>
      <c r="C17" s="10">
        <v>22000</v>
      </c>
      <c r="D17" s="10">
        <v>18000</v>
      </c>
      <c r="E17" s="10">
        <v>15000</v>
      </c>
      <c r="F17" s="10">
        <v>15000</v>
      </c>
      <c r="G17" s="10">
        <f t="shared" si="1"/>
        <v>95000</v>
      </c>
    </row>
    <row r="18" spans="1:7" x14ac:dyDescent="0.25">
      <c r="A18" s="9" t="s">
        <v>66</v>
      </c>
      <c r="B18" s="10">
        <v>10000</v>
      </c>
      <c r="C18" s="10">
        <v>15000</v>
      </c>
      <c r="D18" s="10">
        <v>20000</v>
      </c>
      <c r="E18" s="10">
        <v>22000</v>
      </c>
      <c r="F18" s="10">
        <v>23000</v>
      </c>
      <c r="G18" s="10">
        <f t="shared" si="1"/>
        <v>90000</v>
      </c>
    </row>
    <row r="19" spans="1:7" x14ac:dyDescent="0.25">
      <c r="A19" s="11" t="s">
        <v>52</v>
      </c>
      <c r="B19" s="12">
        <f t="shared" ref="B19:G19" si="2">B11+B12+B13+B14+B15+B16+B17+B18</f>
        <v>560000</v>
      </c>
      <c r="C19" s="12">
        <f t="shared" si="2"/>
        <v>509000</v>
      </c>
      <c r="D19" s="12">
        <f t="shared" si="2"/>
        <v>470000</v>
      </c>
      <c r="E19" s="12">
        <f t="shared" si="2"/>
        <v>428000</v>
      </c>
      <c r="F19" s="12">
        <f t="shared" si="2"/>
        <v>383000</v>
      </c>
      <c r="G19" s="12">
        <f t="shared" si="2"/>
        <v>2350000</v>
      </c>
    </row>
    <row r="20" spans="1:7" x14ac:dyDescent="0.25">
      <c r="A20" s="9" t="s">
        <v>67</v>
      </c>
      <c r="B20" s="10">
        <v>15000</v>
      </c>
      <c r="C20" s="10">
        <v>16000</v>
      </c>
      <c r="D20" s="10">
        <v>30000</v>
      </c>
      <c r="E20" s="10">
        <v>32000</v>
      </c>
      <c r="F20" s="10">
        <v>57000</v>
      </c>
      <c r="G20" s="10">
        <f>SUM(B20:F20)</f>
        <v>150000</v>
      </c>
    </row>
    <row r="21" spans="1:7" ht="19.5" customHeight="1" x14ac:dyDescent="0.25">
      <c r="A21" s="13" t="s">
        <v>55</v>
      </c>
      <c r="B21" s="14">
        <f t="shared" ref="B21:G21" si="3">B19+B20</f>
        <v>575000</v>
      </c>
      <c r="C21" s="14">
        <f t="shared" si="3"/>
        <v>525000</v>
      </c>
      <c r="D21" s="14">
        <f t="shared" si="3"/>
        <v>500000</v>
      </c>
      <c r="E21" s="14">
        <f t="shared" si="3"/>
        <v>460000</v>
      </c>
      <c r="F21" s="14">
        <f t="shared" si="3"/>
        <v>440000</v>
      </c>
      <c r="G21" s="14">
        <f t="shared" si="3"/>
        <v>2500000</v>
      </c>
    </row>
    <row r="22" spans="1:7" ht="19.5" customHeight="1" x14ac:dyDescent="0.25">
      <c r="A22" s="15"/>
      <c r="B22" s="16"/>
      <c r="C22" s="16"/>
      <c r="D22" s="16"/>
      <c r="E22" s="16"/>
      <c r="F22" s="16"/>
      <c r="G22" s="16"/>
    </row>
    <row r="23" spans="1:7" ht="19.5" customHeight="1" x14ac:dyDescent="0.25">
      <c r="A23" s="15"/>
      <c r="B23" s="16"/>
      <c r="C23" s="16"/>
      <c r="D23" s="16"/>
      <c r="E23" s="16"/>
      <c r="F23" s="16"/>
      <c r="G23" s="16"/>
    </row>
    <row r="24" spans="1:7" ht="19.5" customHeight="1" x14ac:dyDescent="0.25">
      <c r="A24" s="15"/>
      <c r="B24" s="16"/>
      <c r="C24" s="16"/>
      <c r="D24" s="16"/>
      <c r="E24" s="16"/>
      <c r="F24" s="16"/>
      <c r="G24" s="16"/>
    </row>
    <row r="27" spans="1:7" x14ac:dyDescent="0.25">
      <c r="A27" t="s">
        <v>57</v>
      </c>
      <c r="D27" t="s">
        <v>57</v>
      </c>
    </row>
    <row r="29" spans="1:7" x14ac:dyDescent="0.25">
      <c r="A29" s="1" t="s">
        <v>56</v>
      </c>
      <c r="D29" s="1" t="s">
        <v>68</v>
      </c>
    </row>
  </sheetData>
  <mergeCells count="5">
    <mergeCell ref="A1:G1"/>
    <mergeCell ref="A2:G2"/>
    <mergeCell ref="A3:G3"/>
    <mergeCell ref="A6:G6"/>
    <mergeCell ref="A10:G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Line-Item Budget</vt:lpstr>
      <vt:lpstr>Summary 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Aliman Neal</cp:lastModifiedBy>
  <cp:revision>0</cp:revision>
  <dcterms:created xsi:type="dcterms:W3CDTF">2026-05-16T18:17:46Z</dcterms:created>
  <dcterms:modified xsi:type="dcterms:W3CDTF">2026-05-16T19:30:26Z</dcterms:modified>
  <dc:language>en-US</dc:language>
</cp:coreProperties>
</file>