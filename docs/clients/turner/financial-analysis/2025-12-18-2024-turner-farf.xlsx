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k.Dillard\Documents\"/>
    </mc:Choice>
  </mc:AlternateContent>
  <xr:revisionPtr revIDLastSave="0" documentId="8_{E2C7D9D7-5E69-48D7-9D26-DA0EA7F485EB}" xr6:coauthVersionLast="47" xr6:coauthVersionMax="47" xr10:uidLastSave="{00000000-0000-0000-0000-000000000000}"/>
  <bookViews>
    <workbookView xWindow="-120" yWindow="-120" windowWidth="25185" windowHeight="14265" activeTab="1" xr2:uid="{B6D22121-7BE8-4DF3-9FE6-D231ED8B59E9}"/>
  </bookViews>
  <sheets>
    <sheet name="1. PPE" sheetId="1" r:id="rId1"/>
    <sheet name="2. FY 2024 Addition Listing " sheetId="2" r:id="rId2"/>
    <sheet name="3. FY 2024 PPE" sheetId="3" r:id="rId3"/>
    <sheet name="2023" sheetId="4" r:id="rId4"/>
    <sheet name="2022" sheetId="5" r:id="rId5"/>
    <sheet name="2021" sheetId="6" r:id="rId6"/>
  </sheets>
  <externalReferences>
    <externalReference r:id="rId7"/>
  </externalReferences>
  <definedNames>
    <definedName name="AF_WP_2abe5ace68e3430caf1789240185e72e_104732">'1. PPE'!#REF!</definedName>
    <definedName name="AF_WP_bbae28558148406dab21e64046d19ef0_74606">'[1]2. FY2024 Fixed Assets'!$E$250</definedName>
    <definedName name="AF_WP_c03e73d17fed40d2b36611c1cef99d2b_104746">'1. PPE'!$I$19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6" l="1"/>
  <c r="H18" i="6"/>
  <c r="I16" i="6"/>
  <c r="J16" i="6" s="1"/>
  <c r="G12" i="6"/>
  <c r="D12" i="6"/>
  <c r="I8" i="6"/>
  <c r="H28" i="5"/>
  <c r="D21" i="5"/>
  <c r="H20" i="5"/>
  <c r="I20" i="5" s="1"/>
  <c r="H19" i="5"/>
  <c r="H21" i="5" s="1"/>
  <c r="G19" i="5"/>
  <c r="H14" i="5"/>
  <c r="I14" i="5" s="1"/>
  <c r="H13" i="5"/>
  <c r="I13" i="5" s="1"/>
  <c r="D12" i="5"/>
  <c r="I8" i="5"/>
  <c r="H31" i="4"/>
  <c r="D24" i="4"/>
  <c r="H23" i="4"/>
  <c r="I23" i="4" s="1"/>
  <c r="J23" i="4" s="1"/>
  <c r="H22" i="4"/>
  <c r="H21" i="4"/>
  <c r="H24" i="4" s="1"/>
  <c r="H16" i="4"/>
  <c r="I16" i="4" s="1"/>
  <c r="J16" i="4" s="1"/>
  <c r="D15" i="4"/>
  <c r="H14" i="4"/>
  <c r="H13" i="4"/>
  <c r="H12" i="4"/>
  <c r="D12" i="4"/>
  <c r="I8" i="4"/>
  <c r="J8" i="4" s="1"/>
  <c r="G28" i="3"/>
  <c r="D28" i="3"/>
  <c r="L27" i="3"/>
  <c r="H27" i="3"/>
  <c r="I27" i="3" s="1"/>
  <c r="J27" i="3" s="1"/>
  <c r="L26" i="3"/>
  <c r="H26" i="3"/>
  <c r="I26" i="3" s="1"/>
  <c r="J26" i="3" s="1"/>
  <c r="L25" i="3"/>
  <c r="H25" i="3"/>
  <c r="I25" i="3" s="1"/>
  <c r="L24" i="3"/>
  <c r="H24" i="3"/>
  <c r="H28" i="3" s="1"/>
  <c r="G11" i="1" s="1"/>
  <c r="H11" i="1" s="1"/>
  <c r="G21" i="3"/>
  <c r="G30" i="3" s="1"/>
  <c r="L20" i="3"/>
  <c r="H20" i="3"/>
  <c r="I20" i="3" s="1"/>
  <c r="J20" i="3" s="1"/>
  <c r="L19" i="3"/>
  <c r="H19" i="3"/>
  <c r="I19" i="3" s="1"/>
  <c r="J19" i="3" s="1"/>
  <c r="D18" i="3"/>
  <c r="L17" i="3"/>
  <c r="H17" i="3"/>
  <c r="I17" i="3" s="1"/>
  <c r="J17" i="3" s="1"/>
  <c r="L16" i="3"/>
  <c r="H16" i="3"/>
  <c r="I16" i="3" s="1"/>
  <c r="J16" i="3" s="1"/>
  <c r="D15" i="3"/>
  <c r="I11" i="3"/>
  <c r="E63" i="2"/>
  <c r="E59" i="2"/>
  <c r="E50" i="2"/>
  <c r="E61" i="2" s="1"/>
  <c r="F19" i="1"/>
  <c r="F12" i="1"/>
  <c r="G7" i="1"/>
  <c r="H7" i="1" s="1"/>
  <c r="G6" i="1"/>
  <c r="H5" i="1"/>
  <c r="F4" i="1"/>
  <c r="I12" i="6" l="1"/>
  <c r="G12" i="5" s="1"/>
  <c r="G18" i="6"/>
  <c r="J12" i="6"/>
  <c r="D18" i="6"/>
  <c r="J8" i="6"/>
  <c r="J18" i="6" s="1"/>
  <c r="I18" i="6"/>
  <c r="J20" i="5"/>
  <c r="G22" i="4"/>
  <c r="I22" i="4" s="1"/>
  <c r="J22" i="4" s="1"/>
  <c r="I19" i="5"/>
  <c r="G21" i="5"/>
  <c r="J14" i="5"/>
  <c r="G14" i="4"/>
  <c r="I14" i="4" s="1"/>
  <c r="J14" i="4" s="1"/>
  <c r="J13" i="5"/>
  <c r="G13" i="4"/>
  <c r="I13" i="4" s="1"/>
  <c r="J13" i="4" s="1"/>
  <c r="H12" i="5"/>
  <c r="H15" i="5" s="1"/>
  <c r="H23" i="5" s="1"/>
  <c r="D15" i="5"/>
  <c r="D23" i="5" s="1"/>
  <c r="J8" i="5"/>
  <c r="D17" i="4"/>
  <c r="D26" i="4" s="1"/>
  <c r="H15" i="4"/>
  <c r="J25" i="3"/>
  <c r="J28" i="3" s="1"/>
  <c r="I28" i="3"/>
  <c r="H18" i="3"/>
  <c r="I18" i="3" s="1"/>
  <c r="J18" i="3"/>
  <c r="L18" i="3"/>
  <c r="H15" i="3"/>
  <c r="L15" i="3"/>
  <c r="D21" i="3"/>
  <c r="D30" i="3" s="1"/>
  <c r="J11" i="3"/>
  <c r="G13" i="1"/>
  <c r="J13" i="1" s="1"/>
  <c r="G8" i="1"/>
  <c r="H6" i="1"/>
  <c r="F8" i="1"/>
  <c r="H4" i="1"/>
  <c r="H8" i="1" s="1"/>
  <c r="E65" i="2"/>
  <c r="I12" i="5" l="1"/>
  <c r="G15" i="5"/>
  <c r="G23" i="5" s="1"/>
  <c r="J19" i="5"/>
  <c r="J21" i="5" s="1"/>
  <c r="I21" i="5"/>
  <c r="G21" i="4"/>
  <c r="H17" i="4"/>
  <c r="H26" i="4" s="1"/>
  <c r="H37" i="4" s="1"/>
  <c r="I15" i="4"/>
  <c r="J15" i="4" s="1"/>
  <c r="I15" i="3"/>
  <c r="H21" i="3"/>
  <c r="J8" i="1"/>
  <c r="F20" i="1"/>
  <c r="F21" i="1" s="1"/>
  <c r="F15" i="1"/>
  <c r="H20" i="1"/>
  <c r="L30" i="3"/>
  <c r="J12" i="5" l="1"/>
  <c r="J15" i="5" s="1"/>
  <c r="J23" i="5" s="1"/>
  <c r="I15" i="5"/>
  <c r="I23" i="5" s="1"/>
  <c r="G12" i="4"/>
  <c r="I21" i="4"/>
  <c r="G24" i="4"/>
  <c r="J15" i="3"/>
  <c r="J21" i="3" s="1"/>
  <c r="J30" i="3" s="1"/>
  <c r="I21" i="3"/>
  <c r="I30" i="3" s="1"/>
  <c r="H30" i="3"/>
  <c r="H33" i="3" s="1"/>
  <c r="G10" i="1"/>
  <c r="I12" i="4" l="1"/>
  <c r="G17" i="4"/>
  <c r="G26" i="4" s="1"/>
  <c r="J21" i="4"/>
  <c r="J24" i="4" s="1"/>
  <c r="I24" i="4"/>
  <c r="G35" i="4" s="1"/>
  <c r="H10" i="1"/>
  <c r="H12" i="1" s="1"/>
  <c r="H15" i="1" s="1"/>
  <c r="G12" i="1"/>
  <c r="J12" i="4" l="1"/>
  <c r="J17" i="4" s="1"/>
  <c r="J26" i="4" s="1"/>
  <c r="I17" i="4"/>
  <c r="G15" i="1"/>
  <c r="J12" i="1"/>
  <c r="H19" i="1"/>
  <c r="H21" i="1" s="1"/>
  <c r="I26" i="4" l="1"/>
  <c r="G34" i="4"/>
</calcChain>
</file>

<file path=xl/sharedStrings.xml><?xml version="1.0" encoding="utf-8"?>
<sst xmlns="http://schemas.openxmlformats.org/spreadsheetml/2006/main" count="321" uniqueCount="157">
  <si>
    <t>Date</t>
  </si>
  <si>
    <t>Tab-2 FY 2024 Additions</t>
  </si>
  <si>
    <t>W/P</t>
  </si>
  <si>
    <t>(Additions)</t>
  </si>
  <si>
    <t>GL Account</t>
  </si>
  <si>
    <t>Description</t>
  </si>
  <si>
    <t>Ref PY</t>
  </si>
  <si>
    <t>FY2023 Balance</t>
  </si>
  <si>
    <t>FY2024 Additions</t>
  </si>
  <si>
    <t>FY2024 Ending Balance</t>
  </si>
  <si>
    <t>W/P REF</t>
  </si>
  <si>
    <t>FY2024 Net Changes</t>
  </si>
  <si>
    <t>Land</t>
  </si>
  <si>
    <t>F-4</t>
  </si>
  <si>
    <t>F-Lead / R-1.1</t>
  </si>
  <si>
    <t>Fixed Assets:Buildings</t>
  </si>
  <si>
    <t>Fixed Assets:Leasehold Improvements</t>
  </si>
  <si>
    <t>Fixed Assets:Furniture and Equipment</t>
  </si>
  <si>
    <t>PP&amp;E</t>
  </si>
  <si>
    <t>Tab 2 - Row-E49</t>
  </si>
  <si>
    <t>Accumulated Depreciation Building</t>
  </si>
  <si>
    <t>Accumulated Depreciation Furniture &amp; Fixtures</t>
  </si>
  <si>
    <t>Less: Accumulated Depreciation</t>
  </si>
  <si>
    <t>Tab 3 - Row-H30</t>
  </si>
  <si>
    <t>PY</t>
  </si>
  <si>
    <t/>
  </si>
  <si>
    <t>PP&amp;E, Net</t>
  </si>
  <si>
    <t>FY2023</t>
  </si>
  <si>
    <t>WPG Analysis</t>
  </si>
  <si>
    <t>FY2024</t>
  </si>
  <si>
    <t>Depreciation</t>
  </si>
  <si>
    <t>TB</t>
  </si>
  <si>
    <t>50-LS</t>
  </si>
  <si>
    <t>Depreciable PP&amp;E</t>
  </si>
  <si>
    <t>Ratio</t>
  </si>
  <si>
    <t>Note:</t>
  </si>
  <si>
    <t>No significant increase or decrease in assets. Depreciation remained constant</t>
  </si>
  <si>
    <t>in both years despite 2024 additions.</t>
  </si>
  <si>
    <t>TICKMARKS:</t>
  </si>
  <si>
    <t>Crossfooted</t>
  </si>
  <si>
    <t>Recalculation</t>
  </si>
  <si>
    <t>Footed</t>
  </si>
  <si>
    <t>TURNER THEOLOGICAL SEMINARY</t>
  </si>
  <si>
    <t>Fixed Asset Addition Testing</t>
  </si>
  <si>
    <t>Purpose:</t>
  </si>
  <si>
    <t>To test the addition in PPE during the FY 2024.</t>
  </si>
  <si>
    <t>Scope:</t>
  </si>
  <si>
    <t>Reviewed the significant fixed asset additions to cover atleast 75% of total additions.</t>
  </si>
  <si>
    <t>Source:</t>
  </si>
  <si>
    <t xml:space="preserve">Fixed Asset additions listing. </t>
  </si>
  <si>
    <t>Conclusion:</t>
  </si>
  <si>
    <r>
      <t xml:space="preserve">WPG noted 19 samples (highlighted in orange) based on above criteria. Refer </t>
    </r>
    <r>
      <rPr>
        <b/>
        <sz val="10"/>
        <rFont val="Calibri"/>
        <family val="2"/>
        <scheme val="minor"/>
      </rPr>
      <t>"F-1.1"</t>
    </r>
    <r>
      <rPr>
        <sz val="10"/>
        <rFont val="Calibri"/>
        <family val="2"/>
        <scheme val="minor"/>
      </rPr>
      <t xml:space="preserve"> for testing document.</t>
    </r>
  </si>
  <si>
    <t>GL Name</t>
  </si>
  <si>
    <t>Vendor</t>
  </si>
  <si>
    <t>Memo/Description</t>
  </si>
  <si>
    <t>Amount</t>
  </si>
  <si>
    <t xml:space="preserve">   Leasehold Improvements</t>
  </si>
  <si>
    <t>06/01/2024</t>
  </si>
  <si>
    <t>VKY Renovation LLC</t>
  </si>
  <si>
    <t>Bathroom renovations - Deposit</t>
  </si>
  <si>
    <t>06/06/2024</t>
  </si>
  <si>
    <t>Check 30357</t>
  </si>
  <si>
    <t>02/20/2024</t>
  </si>
  <si>
    <t>A &amp; D Gray Enterprises Inc</t>
  </si>
  <si>
    <t>Maintenance</t>
  </si>
  <si>
    <t>06/05/2024</t>
  </si>
  <si>
    <t>D &amp; L Contracting Services, Inc</t>
  </si>
  <si>
    <t>Renovations</t>
  </si>
  <si>
    <t>08/29/2023</t>
  </si>
  <si>
    <t>GUSTO/CND 435819 Turner Theological Sem</t>
  </si>
  <si>
    <t>10/19/2023</t>
  </si>
  <si>
    <t>GUSTO/CND 698958 Turner Theological Sem</t>
  </si>
  <si>
    <t>11/30/2023</t>
  </si>
  <si>
    <t>GUSTO/CND 660665 Turner Theological Sem</t>
  </si>
  <si>
    <t>07/07/2023</t>
  </si>
  <si>
    <t>08/14/2023</t>
  </si>
  <si>
    <t>GUSTO/CND 106053 Turner Theological Sem</t>
  </si>
  <si>
    <t>07/21/2023</t>
  </si>
  <si>
    <t>07/26/2023</t>
  </si>
  <si>
    <t>08/17/2023</t>
  </si>
  <si>
    <t>GUSTO/CND 212070 Turner Theological Sem</t>
  </si>
  <si>
    <t>09/19/2023</t>
  </si>
  <si>
    <t>GUSTO/CND 976026 Turner Theological Sem</t>
  </si>
  <si>
    <t>06/12/2024</t>
  </si>
  <si>
    <t>Deposit on Renovation of 3rd and 4th of Talbot Hall</t>
  </si>
  <si>
    <t>Residential Specialist LLC</t>
  </si>
  <si>
    <t>Schindler Elevator Corp</t>
  </si>
  <si>
    <t>Theological; Schindler Elevat/XXXXXX5526 Turner</t>
  </si>
  <si>
    <t>11/14/2023</t>
  </si>
  <si>
    <t>GUSTO/CND 271426 Turner Theological Sem</t>
  </si>
  <si>
    <t>07/17/2023</t>
  </si>
  <si>
    <t>07/19/2023</t>
  </si>
  <si>
    <t>SCHINDLER ELEVAT/8662465526 TURNER THEOLOGICAL</t>
  </si>
  <si>
    <t>09/14/2023</t>
  </si>
  <si>
    <t>Theological; Schindler Elevat/8662465526 Turner</t>
  </si>
  <si>
    <t>10/16/2023</t>
  </si>
  <si>
    <t>11/16/2023</t>
  </si>
  <si>
    <t>GUSTO/CND 364686 Turner Theological Sem</t>
  </si>
  <si>
    <t>11/20/2023</t>
  </si>
  <si>
    <t>01/23/2024</t>
  </si>
  <si>
    <t>02/16/2024</t>
  </si>
  <si>
    <t>04/10/2024</t>
  </si>
  <si>
    <t>05/08/2024</t>
  </si>
  <si>
    <t>08/21/2023</t>
  </si>
  <si>
    <t>07/25/2023</t>
  </si>
  <si>
    <t>Total Leasehold Improvements</t>
  </si>
  <si>
    <t xml:space="preserve">   Furniture and Equipment</t>
  </si>
  <si>
    <t>11/19/2023</t>
  </si>
  <si>
    <t>Atlanta Office Liquidators</t>
  </si>
  <si>
    <t>07/18/2023</t>
  </si>
  <si>
    <t>Invoice#25689 - Executive Office Set; End Tables: C</t>
  </si>
  <si>
    <t>07/13/2023</t>
  </si>
  <si>
    <t>Invoice#25716 - 2 Smartboards</t>
  </si>
  <si>
    <t>Best Buy</t>
  </si>
  <si>
    <t>BEST BUY      00008961</t>
  </si>
  <si>
    <t>Total Furniture and Equipment</t>
  </si>
  <si>
    <t>Total Additions</t>
  </si>
  <si>
    <t>Sum of PPE Additions samples selected for testing</t>
  </si>
  <si>
    <t>Sum of all Orange highlights</t>
  </si>
  <si>
    <t>% Coverage</t>
  </si>
  <si>
    <t>Turner Theological Seminary</t>
  </si>
  <si>
    <t>Fixed Asset Additions</t>
  </si>
  <si>
    <t>BOOK ASSET DETAIL</t>
  </si>
  <si>
    <t>7/1/2023 - 6/30/2024</t>
  </si>
  <si>
    <t>FY 2024</t>
  </si>
  <si>
    <t>Year</t>
  </si>
  <si>
    <t>Cost</t>
  </si>
  <si>
    <t>Useful Life</t>
  </si>
  <si>
    <t>Method</t>
  </si>
  <si>
    <t>Beg. Accum. Deprec.</t>
  </si>
  <si>
    <t>End. Accum. Deprec.</t>
  </si>
  <si>
    <t>Net Book Value</t>
  </si>
  <si>
    <t>Depreciation Recalculation (WPG)</t>
  </si>
  <si>
    <t>WPG Notes</t>
  </si>
  <si>
    <t>Land-Building</t>
  </si>
  <si>
    <t>Buildings</t>
  </si>
  <si>
    <t>Buildings and Improvements</t>
  </si>
  <si>
    <t>S/L</t>
  </si>
  <si>
    <t>Note 1</t>
  </si>
  <si>
    <t>Improvements</t>
  </si>
  <si>
    <t>Furniture, Fixtures and Equipment</t>
  </si>
  <si>
    <t>Furniture and Equipment</t>
  </si>
  <si>
    <t>Various</t>
  </si>
  <si>
    <t>Furniture</t>
  </si>
  <si>
    <t>58000</t>
  </si>
  <si>
    <t>Depreciation Expense</t>
  </si>
  <si>
    <t>Variance</t>
  </si>
  <si>
    <r>
      <t xml:space="preserve">Note 1: </t>
    </r>
    <r>
      <rPr>
        <b/>
        <sz val="12"/>
        <color theme="1"/>
        <rFont val="Calibri"/>
        <family val="2"/>
        <scheme val="minor"/>
      </rPr>
      <t>Building</t>
    </r>
    <r>
      <rPr>
        <sz val="12"/>
        <color theme="1"/>
        <rFont val="Calibri"/>
        <family val="2"/>
        <scheme val="minor"/>
      </rPr>
      <t xml:space="preserve"> - Keeping with annual depreciation expense of $16K. WPG anticipates building will be fully depreciated in 2032 (i.e. 8 years from now) as a result of accumulated depreciation balance not reflecting the correct estimated annual depreciation recording each year prior to WPG appointment as auditors.</t>
    </r>
    <r>
      <rPr>
        <b/>
        <sz val="12"/>
        <color rgb="FFFF0000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WPG noted accumulated depreciation discrepancy in MLC Memorandum.  However, we did not propose an AJE to "catch-up" accumulated depreciation because the entry would potentially distort current year expense activity.  Reasonable.</t>
    </r>
  </si>
  <si>
    <t>FY 2023</t>
  </si>
  <si>
    <t>Journal Entries:</t>
  </si>
  <si>
    <t>DR</t>
  </si>
  <si>
    <t>CR</t>
  </si>
  <si>
    <t>To reclassify land.</t>
  </si>
  <si>
    <t>To record additional depreciation expense.</t>
  </si>
  <si>
    <t>FY 2022</t>
  </si>
  <si>
    <t>Three months ended June 30, 2021</t>
  </si>
  <si>
    <t>To correct  accumulated depreciation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</si>
</sst>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_);_(* \(#,##0.00\);_(* 0.00_);_(@_)"/>
    <numFmt numFmtId="166" formatCode="_(* #,##0_);_(* \(#,##0\);_(* 0_);_(@_)"/>
    <numFmt numFmtId="167" formatCode="#,##0.00\ _€"/>
    <numFmt numFmtId="168" formatCode="00"/>
  </numFmts>
  <fonts count="4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u/>
      <sz val="12"/>
      <color theme="10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b/>
      <sz val="10"/>
      <color theme="0"/>
      <name val="Calibri"/>
      <family val="2"/>
    </font>
    <font>
      <sz val="12"/>
      <color theme="1"/>
      <name val="Calibri"/>
      <family val="2"/>
      <scheme val="minor"/>
    </font>
    <font>
      <u/>
      <sz val="10"/>
      <color indexed="12"/>
      <name val="Arial"/>
      <family val="2"/>
    </font>
    <font>
      <u/>
      <sz val="10"/>
      <color indexed="12"/>
      <name val="Calibri"/>
      <family val="2"/>
    </font>
    <font>
      <b/>
      <u val="doubleAccounting"/>
      <sz val="10"/>
      <color rgb="FF000000"/>
      <name val="Calibri"/>
      <family val="2"/>
    </font>
    <font>
      <u val="singleAccounting"/>
      <sz val="11"/>
      <color rgb="FF000000"/>
      <name val="Calibri"/>
      <family val="2"/>
    </font>
    <font>
      <b/>
      <sz val="11"/>
      <color rgb="FF0070C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u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indexed="8"/>
      <name val="Arial"/>
      <family val="2"/>
    </font>
    <font>
      <b/>
      <sz val="9"/>
      <color rgb="FFFF000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rgb="FFFF0000"/>
      <name val="Arial"/>
      <family val="2"/>
    </font>
    <font>
      <u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</font>
    <font>
      <sz val="12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u/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542222357860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20">
    <xf numFmtId="0" fontId="0" fillId="0" borderId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2" fillId="0" borderId="0" applyBorder="0"/>
    <xf numFmtId="0" fontId="6" fillId="0" borderId="0"/>
    <xf numFmtId="43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4" fillId="0" borderId="0" applyNumberFormat="0" applyFill="0" applyBorder="0">
      <protection locked="0"/>
    </xf>
    <xf numFmtId="0" fontId="6" fillId="0" borderId="0"/>
    <xf numFmtId="0" fontId="1" fillId="0" borderId="0"/>
    <xf numFmtId="0" fontId="19" fillId="0" borderId="0"/>
    <xf numFmtId="0" fontId="6" fillId="0" borderId="0"/>
    <xf numFmtId="0" fontId="19" fillId="0" borderId="0"/>
    <xf numFmtId="0" fontId="6" fillId="0" borderId="0"/>
    <xf numFmtId="44" fontId="6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179">
    <xf numFmtId="0" fontId="0" fillId="0" borderId="0" xfId="0"/>
    <xf numFmtId="0" fontId="3" fillId="0" borderId="0" xfId="5" applyFont="1"/>
    <xf numFmtId="0" fontId="4" fillId="0" borderId="0" xfId="5" applyFont="1"/>
    <xf numFmtId="0" fontId="7" fillId="0" borderId="0" xfId="6" applyFont="1"/>
    <xf numFmtId="0" fontId="4" fillId="0" borderId="0" xfId="5" applyFont="1" applyAlignment="1">
      <alignment horizontal="center" wrapText="1"/>
    </xf>
    <xf numFmtId="0" fontId="12" fillId="2" borderId="1" xfId="5" applyFont="1" applyFill="1" applyBorder="1" applyAlignment="1">
      <alignment vertical="center"/>
    </xf>
    <xf numFmtId="0" fontId="12" fillId="2" borderId="2" xfId="5" applyFont="1" applyFill="1" applyBorder="1" applyAlignment="1">
      <alignment vertical="center"/>
    </xf>
    <xf numFmtId="0" fontId="12" fillId="3" borderId="2" xfId="5" applyFont="1" applyFill="1" applyBorder="1" applyAlignment="1">
      <alignment horizontal="center" vertical="center"/>
    </xf>
    <xf numFmtId="0" fontId="9" fillId="0" borderId="0" xfId="5" applyFont="1" applyBorder="1" applyAlignment="1">
      <alignment horizontal="center"/>
    </xf>
    <xf numFmtId="0" fontId="9" fillId="0" borderId="0" xfId="5" applyFont="1" applyBorder="1"/>
    <xf numFmtId="49" fontId="9" fillId="0" borderId="0" xfId="5" applyNumberFormat="1" applyFont="1" applyBorder="1" applyAlignment="1">
      <alignment wrapText="1"/>
    </xf>
    <xf numFmtId="49" fontId="12" fillId="2" borderId="3" xfId="5" applyNumberFormat="1" applyFont="1" applyFill="1" applyBorder="1" applyAlignment="1">
      <alignment vertical="center" wrapText="1"/>
    </xf>
    <xf numFmtId="49" fontId="12" fillId="2" borderId="4" xfId="5" applyNumberFormat="1" applyFont="1" applyFill="1" applyBorder="1" applyAlignment="1">
      <alignment vertical="center" wrapText="1"/>
    </xf>
    <xf numFmtId="49" fontId="12" fillId="2" borderId="4" xfId="5" applyNumberFormat="1" applyFont="1" applyFill="1" applyBorder="1" applyAlignment="1">
      <alignment horizontal="center" vertical="center" wrapText="1"/>
    </xf>
    <xf numFmtId="49" fontId="12" fillId="3" borderId="4" xfId="5" applyNumberFormat="1" applyFont="1" applyFill="1" applyBorder="1" applyAlignment="1">
      <alignment horizontal="center" vertical="center" wrapText="1"/>
    </xf>
    <xf numFmtId="49" fontId="9" fillId="0" borderId="0" xfId="5" applyNumberFormat="1" applyFont="1" applyBorder="1" applyAlignment="1">
      <alignment horizontal="center" wrapText="1"/>
    </xf>
    <xf numFmtId="49" fontId="3" fillId="0" borderId="0" xfId="5" applyNumberFormat="1" applyFont="1" applyAlignment="1">
      <alignment vertical="center" wrapText="1"/>
    </xf>
    <xf numFmtId="0" fontId="4" fillId="0" borderId="0" xfId="5" applyFont="1" applyAlignment="1">
      <alignment horizontal="center" vertical="center" wrapText="1"/>
    </xf>
    <xf numFmtId="164" fontId="3" fillId="0" borderId="0" xfId="7" applyNumberFormat="1" applyFont="1" applyAlignment="1">
      <alignment vertical="center" wrapText="1"/>
    </xf>
    <xf numFmtId="0" fontId="3" fillId="0" borderId="0" xfId="5" applyFont="1" applyAlignment="1">
      <alignment vertical="center" wrapText="1"/>
    </xf>
    <xf numFmtId="165" fontId="3" fillId="0" borderId="0" xfId="5" applyNumberFormat="1" applyFont="1" applyBorder="1" applyAlignment="1">
      <alignment vertical="center"/>
    </xf>
    <xf numFmtId="165" fontId="3" fillId="0" borderId="0" xfId="5" applyNumberFormat="1" applyFont="1" applyBorder="1" applyAlignment="1">
      <alignment vertical="center" wrapText="1"/>
    </xf>
    <xf numFmtId="10" fontId="3" fillId="0" borderId="0" xfId="8" applyNumberFormat="1" applyFont="1" applyFill="1" applyBorder="1" applyAlignment="1">
      <alignment vertical="center" wrapText="1"/>
    </xf>
    <xf numFmtId="0" fontId="7" fillId="0" borderId="0" xfId="6" applyFont="1" applyAlignment="1">
      <alignment vertical="center"/>
    </xf>
    <xf numFmtId="49" fontId="3" fillId="0" borderId="0" xfId="5" applyNumberFormat="1" applyFont="1" applyAlignment="1">
      <alignment wrapText="1"/>
    </xf>
    <xf numFmtId="164" fontId="3" fillId="0" borderId="0" xfId="7" applyNumberFormat="1" applyFont="1" applyAlignment="1">
      <alignment wrapText="1"/>
    </xf>
    <xf numFmtId="0" fontId="11" fillId="0" borderId="0" xfId="5" applyFont="1" applyAlignment="1">
      <alignment wrapText="1"/>
    </xf>
    <xf numFmtId="0" fontId="3" fillId="0" borderId="0" xfId="5" applyFont="1" applyAlignment="1">
      <alignment wrapText="1"/>
    </xf>
    <xf numFmtId="165" fontId="3" fillId="0" borderId="0" xfId="5" applyNumberFormat="1" applyFont="1" applyBorder="1"/>
    <xf numFmtId="165" fontId="3" fillId="0" borderId="0" xfId="5" applyNumberFormat="1" applyFont="1" applyBorder="1" applyAlignment="1">
      <alignment wrapText="1"/>
    </xf>
    <xf numFmtId="10" fontId="3" fillId="0" borderId="0" xfId="8" applyNumberFormat="1" applyFont="1" applyFill="1" applyBorder="1" applyAlignment="1">
      <alignment wrapText="1"/>
    </xf>
    <xf numFmtId="49" fontId="9" fillId="4" borderId="0" xfId="5" applyNumberFormat="1" applyFont="1" applyFill="1" applyAlignment="1">
      <alignment wrapText="1"/>
    </xf>
    <xf numFmtId="164" fontId="9" fillId="4" borderId="0" xfId="5" applyNumberFormat="1" applyFont="1" applyFill="1" applyAlignment="1">
      <alignment wrapText="1"/>
    </xf>
    <xf numFmtId="0" fontId="9" fillId="4" borderId="0" xfId="5" applyFont="1" applyFill="1" applyBorder="1" applyAlignment="1">
      <alignment wrapText="1"/>
    </xf>
    <xf numFmtId="166" fontId="9" fillId="4" borderId="0" xfId="5" applyNumberFormat="1" applyFont="1" applyFill="1" applyBorder="1" applyAlignment="1">
      <alignment wrapText="1"/>
    </xf>
    <xf numFmtId="165" fontId="4" fillId="0" borderId="0" xfId="5" applyNumberFormat="1" applyFont="1" applyBorder="1"/>
    <xf numFmtId="164" fontId="3" fillId="0" borderId="0" xfId="5" applyNumberFormat="1" applyFont="1" applyAlignment="1">
      <alignment wrapText="1"/>
    </xf>
    <xf numFmtId="166" fontId="3" fillId="0" borderId="0" xfId="5" applyNumberFormat="1" applyFont="1" applyAlignment="1">
      <alignment wrapText="1"/>
    </xf>
    <xf numFmtId="0" fontId="0" fillId="0" borderId="0" xfId="0" applyAlignment="1">
      <alignment horizontal="left" wrapText="1"/>
    </xf>
    <xf numFmtId="164" fontId="3" fillId="0" borderId="0" xfId="5" applyNumberFormat="1" applyFont="1" applyBorder="1" applyAlignment="1">
      <alignment vertical="center" wrapText="1"/>
    </xf>
    <xf numFmtId="164" fontId="3" fillId="0" borderId="0" xfId="5" applyNumberFormat="1" applyFont="1" applyBorder="1" applyAlignment="1">
      <alignment wrapText="1"/>
    </xf>
    <xf numFmtId="164" fontId="3" fillId="0" borderId="4" xfId="5" applyNumberFormat="1" applyFont="1" applyBorder="1" applyAlignment="1">
      <alignment vertical="center" wrapText="1"/>
    </xf>
    <xf numFmtId="0" fontId="3" fillId="0" borderId="4" xfId="5" applyFont="1" applyBorder="1" applyAlignment="1">
      <alignment vertical="center" wrapText="1"/>
    </xf>
    <xf numFmtId="166" fontId="3" fillId="0" borderId="4" xfId="5" applyNumberFormat="1" applyFont="1" applyBorder="1" applyAlignment="1">
      <alignment vertical="center" wrapText="1"/>
    </xf>
    <xf numFmtId="49" fontId="9" fillId="4" borderId="0" xfId="5" applyNumberFormat="1" applyFont="1" applyFill="1" applyAlignment="1">
      <alignment vertical="center" wrapText="1"/>
    </xf>
    <xf numFmtId="164" fontId="9" fillId="4" borderId="0" xfId="5" applyNumberFormat="1" applyFont="1" applyFill="1" applyBorder="1" applyAlignment="1">
      <alignment vertical="center"/>
    </xf>
    <xf numFmtId="0" fontId="9" fillId="4" borderId="0" xfId="5" applyFont="1" applyFill="1" applyAlignment="1">
      <alignment vertical="center" wrapText="1"/>
    </xf>
    <xf numFmtId="166" fontId="9" fillId="4" borderId="0" xfId="5" applyNumberFormat="1" applyFont="1" applyFill="1" applyAlignment="1">
      <alignment vertical="center" wrapText="1"/>
    </xf>
    <xf numFmtId="164" fontId="9" fillId="4" borderId="0" xfId="5" applyNumberFormat="1" applyFont="1" applyFill="1" applyBorder="1"/>
    <xf numFmtId="0" fontId="9" fillId="4" borderId="0" xfId="5" applyFont="1" applyFill="1" applyAlignment="1">
      <alignment wrapText="1"/>
    </xf>
    <xf numFmtId="166" fontId="9" fillId="4" borderId="0" xfId="5" applyNumberFormat="1" applyFont="1" applyFill="1" applyAlignment="1">
      <alignment wrapText="1"/>
    </xf>
    <xf numFmtId="49" fontId="9" fillId="0" borderId="0" xfId="5" applyNumberFormat="1" applyFont="1" applyAlignment="1">
      <alignment wrapText="1"/>
    </xf>
    <xf numFmtId="164" fontId="9" fillId="0" borderId="0" xfId="5" applyNumberFormat="1" applyFont="1" applyBorder="1"/>
    <xf numFmtId="0" fontId="9" fillId="0" borderId="0" xfId="5" applyFont="1" applyAlignment="1">
      <alignment wrapText="1"/>
    </xf>
    <xf numFmtId="165" fontId="9" fillId="0" borderId="0" xfId="5" applyNumberFormat="1" applyFont="1" applyAlignment="1">
      <alignment wrapText="1"/>
    </xf>
    <xf numFmtId="49" fontId="9" fillId="0" borderId="0" xfId="5" applyNumberFormat="1" applyFont="1" applyAlignment="1">
      <alignment horizontal="right" wrapText="1"/>
    </xf>
    <xf numFmtId="49" fontId="15" fillId="0" borderId="0" xfId="9" applyNumberFormat="1" applyFont="1" applyFill="1" applyAlignment="1" applyProtection="1">
      <alignment wrapText="1"/>
    </xf>
    <xf numFmtId="164" fontId="16" fillId="0" borderId="0" xfId="5" applyNumberFormat="1" applyFont="1" applyAlignment="1">
      <alignment wrapText="1"/>
    </xf>
    <xf numFmtId="165" fontId="16" fillId="0" borderId="0" xfId="5" applyNumberFormat="1" applyFont="1" applyBorder="1" applyAlignment="1">
      <alignment wrapText="1"/>
    </xf>
    <xf numFmtId="49" fontId="15" fillId="0" borderId="0" xfId="9" applyNumberFormat="1" applyFont="1" applyAlignment="1" applyProtection="1">
      <alignment wrapText="1"/>
    </xf>
    <xf numFmtId="165" fontId="3" fillId="0" borderId="0" xfId="5" applyNumberFormat="1" applyFont="1" applyAlignment="1">
      <alignment wrapText="1"/>
    </xf>
    <xf numFmtId="0" fontId="15" fillId="0" borderId="0" xfId="9" applyFont="1" applyAlignment="1" applyProtection="1">
      <alignment wrapText="1"/>
    </xf>
    <xf numFmtId="49" fontId="4" fillId="0" borderId="0" xfId="5" applyNumberFormat="1" applyFont="1" applyAlignment="1">
      <alignment horizontal="right" wrapText="1"/>
    </xf>
    <xf numFmtId="165" fontId="4" fillId="0" borderId="0" xfId="5" applyNumberFormat="1" applyFont="1" applyAlignment="1">
      <alignment wrapText="1"/>
    </xf>
    <xf numFmtId="165" fontId="11" fillId="0" borderId="0" xfId="5" applyNumberFormat="1" applyFont="1" applyAlignment="1">
      <alignment wrapText="1"/>
    </xf>
    <xf numFmtId="49" fontId="4" fillId="4" borderId="0" xfId="5" applyNumberFormat="1" applyFont="1" applyFill="1" applyAlignment="1">
      <alignment horizontal="right" wrapText="1"/>
    </xf>
    <xf numFmtId="165" fontId="4" fillId="4" borderId="0" xfId="5" applyNumberFormat="1" applyFont="1" applyFill="1" applyAlignment="1">
      <alignment horizontal="center" wrapText="1"/>
    </xf>
    <xf numFmtId="165" fontId="5" fillId="4" borderId="0" xfId="5" applyNumberFormat="1" applyFont="1" applyFill="1" applyAlignment="1">
      <alignment horizontal="center" wrapText="1"/>
    </xf>
    <xf numFmtId="0" fontId="11" fillId="4" borderId="0" xfId="5" applyFont="1" applyFill="1" applyAlignment="1">
      <alignment wrapText="1"/>
    </xf>
    <xf numFmtId="49" fontId="10" fillId="0" borderId="0" xfId="5" applyNumberFormat="1" applyFont="1" applyAlignment="1">
      <alignment horizontal="right" wrapText="1"/>
    </xf>
    <xf numFmtId="166" fontId="10" fillId="0" borderId="0" xfId="5" applyNumberFormat="1" applyFont="1" applyAlignment="1">
      <alignment wrapText="1"/>
    </xf>
    <xf numFmtId="166" fontId="7" fillId="0" borderId="0" xfId="6" applyNumberFormat="1" applyFont="1"/>
    <xf numFmtId="0" fontId="8" fillId="0" borderId="0" xfId="4"/>
    <xf numFmtId="0" fontId="10" fillId="0" borderId="0" xfId="5" applyFont="1" applyAlignment="1">
      <alignment wrapText="1"/>
    </xf>
    <xf numFmtId="49" fontId="5" fillId="0" borderId="0" xfId="5" applyNumberFormat="1" applyFont="1" applyAlignment="1">
      <alignment horizontal="right" wrapText="1"/>
    </xf>
    <xf numFmtId="10" fontId="5" fillId="0" borderId="0" xfId="8" applyNumberFormat="1" applyFont="1" applyAlignment="1">
      <alignment wrapText="1"/>
    </xf>
    <xf numFmtId="10" fontId="5" fillId="0" borderId="0" xfId="5" applyNumberFormat="1" applyFont="1" applyAlignment="1">
      <alignment wrapText="1"/>
    </xf>
    <xf numFmtId="0" fontId="4" fillId="0" borderId="0" xfId="5" applyFont="1" applyAlignment="1">
      <alignment horizontal="right"/>
    </xf>
    <xf numFmtId="0" fontId="10" fillId="0" borderId="0" xfId="5" applyFont="1"/>
    <xf numFmtId="0" fontId="5" fillId="0" borderId="0" xfId="5" applyFont="1"/>
    <xf numFmtId="0" fontId="2" fillId="0" borderId="0" xfId="5"/>
    <xf numFmtId="0" fontId="6" fillId="0" borderId="0" xfId="10"/>
    <xf numFmtId="49" fontId="2" fillId="0" borderId="0" xfId="5" applyNumberFormat="1" applyAlignment="1">
      <alignment horizontal="center" wrapText="1"/>
    </xf>
    <xf numFmtId="49" fontId="2" fillId="0" borderId="0" xfId="5" applyNumberFormat="1" applyAlignment="1">
      <alignment horizontal="left" wrapText="1"/>
    </xf>
    <xf numFmtId="165" fontId="2" fillId="0" borderId="0" xfId="5" applyNumberFormat="1" applyAlignment="1">
      <alignment wrapText="1"/>
    </xf>
    <xf numFmtId="43" fontId="3" fillId="0" borderId="0" xfId="5" applyNumberFormat="1" applyFont="1"/>
    <xf numFmtId="165" fontId="17" fillId="0" borderId="0" xfId="5" applyNumberFormat="1" applyFont="1" applyAlignment="1">
      <alignment wrapText="1"/>
    </xf>
    <xf numFmtId="43" fontId="7" fillId="0" borderId="0" xfId="6" applyNumberFormat="1" applyFont="1"/>
    <xf numFmtId="0" fontId="18" fillId="0" borderId="0" xfId="11" applyFont="1"/>
    <xf numFmtId="0" fontId="1" fillId="0" borderId="0" xfId="11"/>
    <xf numFmtId="0" fontId="19" fillId="0" borderId="0" xfId="12"/>
    <xf numFmtId="14" fontId="18" fillId="0" borderId="0" xfId="11" applyNumberFormat="1" applyFont="1"/>
    <xf numFmtId="0" fontId="20" fillId="0" borderId="0" xfId="13" applyFont="1" applyAlignment="1">
      <alignment horizontal="right" vertical="top"/>
    </xf>
    <xf numFmtId="0" fontId="21" fillId="0" borderId="0" xfId="13" applyFont="1"/>
    <xf numFmtId="0" fontId="6" fillId="0" borderId="0" xfId="13"/>
    <xf numFmtId="0" fontId="22" fillId="0" borderId="0" xfId="14" applyFont="1"/>
    <xf numFmtId="0" fontId="23" fillId="0" borderId="0" xfId="13" applyFont="1"/>
    <xf numFmtId="0" fontId="21" fillId="0" borderId="0" xfId="15" applyFont="1"/>
    <xf numFmtId="0" fontId="25" fillId="0" borderId="4" xfId="12" applyFont="1" applyBorder="1" applyAlignment="1">
      <alignment horizontal="center" vertical="center" wrapText="1"/>
    </xf>
    <xf numFmtId="0" fontId="26" fillId="0" borderId="0" xfId="12" applyFont="1" applyAlignment="1">
      <alignment horizontal="center" vertical="center" wrapText="1"/>
    </xf>
    <xf numFmtId="0" fontId="27" fillId="5" borderId="0" xfId="12" applyFont="1" applyFill="1" applyAlignment="1">
      <alignment horizontal="left" wrapText="1"/>
    </xf>
    <xf numFmtId="0" fontId="25" fillId="0" borderId="0" xfId="12" applyFont="1" applyAlignment="1">
      <alignment horizontal="center" vertical="center" wrapText="1"/>
    </xf>
    <xf numFmtId="0" fontId="28" fillId="6" borderId="0" xfId="12" applyFont="1" applyFill="1" applyAlignment="1">
      <alignment horizontal="center" wrapText="1"/>
    </xf>
    <xf numFmtId="0" fontId="28" fillId="6" borderId="0" xfId="12" applyFont="1" applyFill="1" applyAlignment="1">
      <alignment horizontal="left" wrapText="1"/>
    </xf>
    <xf numFmtId="167" fontId="28" fillId="6" borderId="0" xfId="12" applyNumberFormat="1" applyFont="1" applyFill="1" applyAlignment="1">
      <alignment horizontal="right" wrapText="1"/>
    </xf>
    <xf numFmtId="0" fontId="28" fillId="0" borderId="0" xfId="12" applyFont="1" applyAlignment="1">
      <alignment horizontal="left" wrapText="1"/>
    </xf>
    <xf numFmtId="0" fontId="27" fillId="0" borderId="0" xfId="12" applyFont="1" applyAlignment="1">
      <alignment horizontal="left" wrapText="1"/>
    </xf>
    <xf numFmtId="0" fontId="28" fillId="0" borderId="0" xfId="12" applyFont="1" applyAlignment="1">
      <alignment horizontal="center" wrapText="1"/>
    </xf>
    <xf numFmtId="167" fontId="28" fillId="0" borderId="0" xfId="12" applyNumberFormat="1" applyFont="1" applyAlignment="1">
      <alignment horizontal="right" wrapText="1"/>
    </xf>
    <xf numFmtId="168" fontId="6" fillId="5" borderId="0" xfId="10" applyNumberFormat="1" applyFill="1"/>
    <xf numFmtId="0" fontId="6" fillId="5" borderId="0" xfId="10" applyFill="1"/>
    <xf numFmtId="8" fontId="1" fillId="5" borderId="0" xfId="16" applyNumberFormat="1" applyFont="1" applyFill="1"/>
    <xf numFmtId="8" fontId="6" fillId="5" borderId="0" xfId="10" applyNumberFormat="1" applyFill="1"/>
    <xf numFmtId="0" fontId="19" fillId="5" borderId="0" xfId="12" applyFill="1"/>
    <xf numFmtId="0" fontId="29" fillId="5" borderId="0" xfId="12" applyFont="1" applyFill="1"/>
    <xf numFmtId="8" fontId="29" fillId="5" borderId="0" xfId="12" applyNumberFormat="1" applyFont="1" applyFill="1"/>
    <xf numFmtId="8" fontId="19" fillId="0" borderId="0" xfId="12" applyNumberFormat="1"/>
    <xf numFmtId="0" fontId="29" fillId="0" borderId="0" xfId="12" applyFont="1"/>
    <xf numFmtId="8" fontId="29" fillId="0" borderId="0" xfId="12" applyNumberFormat="1" applyFont="1"/>
    <xf numFmtId="9" fontId="29" fillId="0" borderId="0" xfId="3" applyFont="1"/>
    <xf numFmtId="0" fontId="30" fillId="0" borderId="0" xfId="0" applyFont="1"/>
    <xf numFmtId="0" fontId="0" fillId="0" borderId="0" xfId="0" quotePrefix="1"/>
    <xf numFmtId="0" fontId="31" fillId="7" borderId="0" xfId="17" applyFont="1" applyFill="1" applyAlignment="1">
      <alignment horizontal="center"/>
    </xf>
    <xf numFmtId="15" fontId="30" fillId="0" borderId="0" xfId="0" applyNumberFormat="1" applyFont="1" applyAlignment="1">
      <alignment horizontal="center"/>
    </xf>
    <xf numFmtId="0" fontId="30" fillId="0" borderId="5" xfId="0" applyFont="1" applyBorder="1" applyAlignment="1">
      <alignment vertical="center"/>
    </xf>
    <xf numFmtId="0" fontId="30" fillId="0" borderId="6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8" xfId="0" applyFont="1" applyBorder="1" applyAlignment="1">
      <alignment vertical="center" wrapText="1"/>
    </xf>
    <xf numFmtId="0" fontId="32" fillId="0" borderId="0" xfId="10" applyFont="1" applyAlignment="1">
      <alignment horizontal="center" vertical="center"/>
    </xf>
    <xf numFmtId="43" fontId="32" fillId="0" borderId="0" xfId="18" applyFont="1" applyFill="1" applyAlignment="1">
      <alignment horizontal="center" vertical="center"/>
    </xf>
    <xf numFmtId="0" fontId="33" fillId="0" borderId="0" xfId="0" applyFont="1"/>
    <xf numFmtId="0" fontId="0" fillId="0" borderId="0" xfId="0" applyAlignment="1">
      <alignment horizontal="center"/>
    </xf>
    <xf numFmtId="43" fontId="0" fillId="0" borderId="0" xfId="0" applyNumberFormat="1"/>
    <xf numFmtId="44" fontId="30" fillId="0" borderId="0" xfId="2" applyFont="1"/>
    <xf numFmtId="44" fontId="30" fillId="4" borderId="0" xfId="2" applyFont="1" applyFill="1" applyAlignment="1">
      <alignment horizontal="center"/>
    </xf>
    <xf numFmtId="44" fontId="30" fillId="4" borderId="0" xfId="2" applyFont="1" applyFill="1"/>
    <xf numFmtId="43" fontId="0" fillId="0" borderId="0" xfId="1" applyFont="1"/>
    <xf numFmtId="43" fontId="0" fillId="0" borderId="0" xfId="1" applyFont="1" applyFill="1"/>
    <xf numFmtId="0" fontId="34" fillId="0" borderId="0" xfId="0" applyFont="1"/>
    <xf numFmtId="43" fontId="0" fillId="0" borderId="0" xfId="1" applyFont="1" applyBorder="1"/>
    <xf numFmtId="43" fontId="0" fillId="0" borderId="0" xfId="1" applyFont="1" applyFill="1" applyBorder="1"/>
    <xf numFmtId="43" fontId="30" fillId="0" borderId="9" xfId="1" applyFont="1" applyBorder="1"/>
    <xf numFmtId="43" fontId="35" fillId="0" borderId="0" xfId="0" applyNumberFormat="1" applyFont="1" applyAlignment="1">
      <alignment wrapText="1"/>
    </xf>
    <xf numFmtId="43" fontId="36" fillId="0" borderId="0" xfId="0" applyNumberFormat="1" applyFont="1" applyAlignment="1">
      <alignment horizontal="center"/>
    </xf>
    <xf numFmtId="0" fontId="37" fillId="0" borderId="0" xfId="0" applyFont="1"/>
    <xf numFmtId="43" fontId="0" fillId="0" borderId="0" xfId="19" applyFont="1" applyBorder="1"/>
    <xf numFmtId="0" fontId="30" fillId="0" borderId="0" xfId="0" applyFont="1" applyAlignment="1">
      <alignment horizontal="center"/>
    </xf>
    <xf numFmtId="44" fontId="30" fillId="0" borderId="10" xfId="2" applyFont="1" applyBorder="1"/>
    <xf numFmtId="44" fontId="30" fillId="0" borderId="0" xfId="2" applyFont="1" applyBorder="1"/>
    <xf numFmtId="44" fontId="30" fillId="0" borderId="10" xfId="2" applyFont="1" applyFill="1" applyBorder="1"/>
    <xf numFmtId="43" fontId="30" fillId="5" borderId="0" xfId="0" applyNumberFormat="1" applyFont="1" applyFill="1"/>
    <xf numFmtId="49" fontId="38" fillId="0" borderId="0" xfId="5" applyNumberFormat="1" applyFont="1" applyAlignment="1">
      <alignment horizontal="left" vertical="center" wrapText="1"/>
    </xf>
    <xf numFmtId="49" fontId="38" fillId="0" borderId="0" xfId="5" applyNumberFormat="1" applyFont="1" applyAlignment="1">
      <alignment horizontal="left" wrapText="1"/>
    </xf>
    <xf numFmtId="44" fontId="30" fillId="0" borderId="0" xfId="0" applyNumberFormat="1" applyFont="1" applyAlignment="1">
      <alignment vertical="center"/>
    </xf>
    <xf numFmtId="44" fontId="30" fillId="0" borderId="0" xfId="0" applyNumberFormat="1" applyFont="1"/>
    <xf numFmtId="0" fontId="39" fillId="0" borderId="0" xfId="0" applyFont="1"/>
    <xf numFmtId="43" fontId="36" fillId="0" borderId="0" xfId="1" applyFont="1" applyFill="1"/>
    <xf numFmtId="43" fontId="36" fillId="0" borderId="0" xfId="0" applyNumberFormat="1" applyFont="1"/>
    <xf numFmtId="44" fontId="0" fillId="0" borderId="0" xfId="0" applyNumberFormat="1"/>
    <xf numFmtId="0" fontId="34" fillId="0" borderId="0" xfId="0" applyFont="1" applyAlignment="1">
      <alignment horizontal="justify" vertical="top" wrapText="1"/>
    </xf>
    <xf numFmtId="43" fontId="30" fillId="0" borderId="0" xfId="1" applyFont="1" applyFill="1" applyBorder="1" applyAlignment="1">
      <alignment horizontal="center"/>
    </xf>
    <xf numFmtId="0" fontId="30" fillId="0" borderId="5" xfId="0" applyFont="1" applyBorder="1"/>
    <xf numFmtId="0" fontId="30" fillId="0" borderId="6" xfId="0" applyFont="1" applyBorder="1" applyAlignment="1">
      <alignment horizontal="center" wrapText="1"/>
    </xf>
    <xf numFmtId="0" fontId="30" fillId="0" borderId="7" xfId="0" applyFont="1" applyBorder="1" applyAlignment="1">
      <alignment horizontal="center" wrapText="1"/>
    </xf>
    <xf numFmtId="0" fontId="30" fillId="0" borderId="8" xfId="0" applyFont="1" applyBorder="1" applyAlignment="1">
      <alignment wrapText="1"/>
    </xf>
    <xf numFmtId="44" fontId="0" fillId="0" borderId="0" xfId="2" applyFont="1"/>
    <xf numFmtId="44" fontId="0" fillId="4" borderId="0" xfId="2" applyFont="1" applyFill="1" applyAlignment="1">
      <alignment horizontal="center"/>
    </xf>
    <xf numFmtId="44" fontId="0" fillId="4" borderId="0" xfId="2" applyFont="1" applyFill="1"/>
    <xf numFmtId="43" fontId="0" fillId="0" borderId="9" xfId="1" applyFont="1" applyBorder="1"/>
    <xf numFmtId="44" fontId="0" fillId="0" borderId="10" xfId="2" applyFont="1" applyBorder="1"/>
    <xf numFmtId="44" fontId="0" fillId="0" borderId="0" xfId="2" applyFont="1" applyBorder="1"/>
    <xf numFmtId="0" fontId="30" fillId="0" borderId="4" xfId="0" applyFont="1" applyBorder="1" applyAlignment="1">
      <alignment horizontal="center"/>
    </xf>
    <xf numFmtId="43" fontId="30" fillId="0" borderId="0" xfId="1" applyFont="1" applyBorder="1" applyAlignment="1">
      <alignment horizontal="center"/>
    </xf>
    <xf numFmtId="43" fontId="0" fillId="0" borderId="4" xfId="1" applyFont="1" applyBorder="1"/>
    <xf numFmtId="0" fontId="40" fillId="0" borderId="0" xfId="0" applyFont="1"/>
    <xf numFmtId="44" fontId="40" fillId="0" borderId="0" xfId="2" applyFont="1" applyFill="1" applyAlignment="1">
      <alignment horizontal="center"/>
    </xf>
    <xf numFmtId="44" fontId="40" fillId="0" borderId="0" xfId="2" applyFont="1" applyFill="1"/>
    <xf numFmtId="0" fontId="40" fillId="0" borderId="0" xfId="0" applyFont="1" applyAlignment="1">
      <alignment horizontal="center"/>
    </xf>
    <xf numFmtId="0" fontId="0" fillId="0" borderId="0" xfId="0" quotePrefix="1" applyAlignment="1">
      <alignment horizontal="center"/>
    </xf>
  </cellXfs>
  <cellStyles count="20">
    <cellStyle name="Comma" xfId="1" builtinId="3"/>
    <cellStyle name="Comma 2" xfId="7" xr:uid="{2A38FA1A-337F-4CA2-B5E6-5337EFB69DBD}"/>
    <cellStyle name="Comma 3" xfId="18" xr:uid="{0C52AE33-08F5-47FB-9D77-D29FF67CF5C6}"/>
    <cellStyle name="Comma 4" xfId="19" xr:uid="{56E2CA3D-53B6-4577-8024-C0FE7E82B191}"/>
    <cellStyle name="Currency" xfId="2" builtinId="4"/>
    <cellStyle name="Currency 2" xfId="16" xr:uid="{72C04D69-04D4-407A-8C6B-1D7E8B89C8E4}"/>
    <cellStyle name="Hyperlink" xfId="4" builtinId="8"/>
    <cellStyle name="Hyperlink 3" xfId="9" xr:uid="{671A6DA0-105D-40DC-A9D8-25AC77B8B2A7}"/>
    <cellStyle name="Normal" xfId="0" builtinId="0"/>
    <cellStyle name="Normal 11" xfId="11" xr:uid="{527FD141-ADE8-40A4-92B0-B38707F89B38}"/>
    <cellStyle name="Normal 2" xfId="10" xr:uid="{43F21C53-DB8A-4E62-B41B-FBE8DDF39B4A}"/>
    <cellStyle name="Normal 3" xfId="5" xr:uid="{CD2E1E20-15C2-489D-A3F6-63403B3EF413}"/>
    <cellStyle name="Normal 3 2" xfId="14" xr:uid="{D0BD39C9-D173-4B98-BCDE-8F9484C344C0}"/>
    <cellStyle name="Normal 4" xfId="6" xr:uid="{4C0AAC6A-674A-4D4A-9AF3-AD57EA4AD48E}"/>
    <cellStyle name="Normal 5" xfId="12" xr:uid="{2E1F1520-BBF4-4D81-8833-7674E2BFE8E2}"/>
    <cellStyle name="Normal 6" xfId="17" xr:uid="{61538187-7EBF-4F03-B022-FC0FCE395902}"/>
    <cellStyle name="Normal 6 2" xfId="13" xr:uid="{982D93CA-05F0-48E8-9AB3-9231EAF7BABD}"/>
    <cellStyle name="Normal 8" xfId="15" xr:uid="{53C3A431-8654-46EE-88C2-423B7A67A7A7}"/>
    <cellStyle name="Percent" xfId="3" builtinId="5"/>
    <cellStyle name="Percent 2" xfId="8" xr:uid="{6A1F5FBF-094E-4536-828E-84C5B03EC1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300181</xdr:colOff>
      <xdr:row>3</xdr:row>
      <xdr:rowOff>150090</xdr:rowOff>
    </xdr:from>
    <xdr:to>
      <xdr:col>4</xdr:col>
      <xdr:colOff>305955</xdr:colOff>
      <xdr:row>14</xdr:row>
      <xdr:rowOff>150091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429CB28F-CAA1-435B-974A-DBE43482B939}"/>
            </a:ext>
          </a:extLst>
        </xdr:cNvPr>
        <xdr:cNvCxnSpPr/>
      </xdr:nvCxnSpPr>
      <xdr:spPr>
        <a:xfrm>
          <a:off x="6339031" y="4226790"/>
          <a:ext cx="5774" cy="185737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294410</xdr:colOff>
      <xdr:row>4</xdr:row>
      <xdr:rowOff>80818</xdr:rowOff>
    </xdr:from>
    <xdr:to>
      <xdr:col>8</xdr:col>
      <xdr:colOff>311728</xdr:colOff>
      <xdr:row>14</xdr:row>
      <xdr:rowOff>167409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90FE35-C045-4D5F-AAA8-C215B184DE99}"/>
            </a:ext>
          </a:extLst>
        </xdr:cNvPr>
        <xdr:cNvCxnSpPr/>
      </xdr:nvCxnSpPr>
      <xdr:spPr>
        <a:xfrm>
          <a:off x="10219460" y="4319443"/>
          <a:ext cx="17318" cy="178204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666750</xdr:colOff>
      <xdr:row>15</xdr:row>
      <xdr:rowOff>25400</xdr:rowOff>
    </xdr:from>
    <xdr:to>
      <xdr:col>5</xdr:col>
      <xdr:colOff>828098</xdr:colOff>
      <xdr:row>16</xdr:row>
      <xdr:rowOff>26186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FA6F95-CFAE-4971-A2EF-901340BC4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6149975"/>
          <a:ext cx="161348" cy="162711"/>
        </a:xfrm>
        <a:prstGeom prst="rect">
          <a:avLst/>
        </a:prstGeom>
      </xdr:spPr>
    </xdr:pic>
    <xdr:clientData/>
  </xdr:twoCellAnchor>
  <xdr:twoCellAnchor editAs="oneCell">
    <xdr:from>
      <xdr:col>7</xdr:col>
      <xdr:colOff>234951</xdr:colOff>
      <xdr:row>15</xdr:row>
      <xdr:rowOff>1</xdr:rowOff>
    </xdr:from>
    <xdr:to>
      <xdr:col>7</xdr:col>
      <xdr:colOff>407708</xdr:colOff>
      <xdr:row>16</xdr:row>
      <xdr:rowOff>12122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A92EC3-A6E7-49D8-A4B7-79A51B29B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6551" y="6124576"/>
          <a:ext cx="172757" cy="174046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15</xdr:row>
      <xdr:rowOff>0</xdr:rowOff>
    </xdr:from>
    <xdr:to>
      <xdr:col>6</xdr:col>
      <xdr:colOff>353129</xdr:colOff>
      <xdr:row>16</xdr:row>
      <xdr:rowOff>11545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38B0C6-72D6-48ED-9806-F7E64B29D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8175" y="6124575"/>
          <a:ext cx="181679" cy="173470"/>
        </a:xfrm>
        <a:prstGeom prst="rect">
          <a:avLst/>
        </a:prstGeom>
      </xdr:spPr>
    </xdr:pic>
    <xdr:clientData/>
  </xdr:twoCellAnchor>
  <xdr:twoCellAnchor>
    <xdr:from>
      <xdr:col>7</xdr:col>
      <xdr:colOff>34636</xdr:colOff>
      <xdr:row>1</xdr:row>
      <xdr:rowOff>34637</xdr:rowOff>
    </xdr:from>
    <xdr:to>
      <xdr:col>7</xdr:col>
      <xdr:colOff>40409</xdr:colOff>
      <xdr:row>7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1E8D86A-2E49-436B-8BBC-CB362D4792E0}"/>
            </a:ext>
          </a:extLst>
        </xdr:cNvPr>
        <xdr:cNvCxnSpPr/>
      </xdr:nvCxnSpPr>
      <xdr:spPr>
        <a:xfrm>
          <a:off x="9026236" y="3625562"/>
          <a:ext cx="5773" cy="109883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548410</xdr:colOff>
      <xdr:row>24</xdr:row>
      <xdr:rowOff>11546</xdr:rowOff>
    </xdr:from>
    <xdr:to>
      <xdr:col>0</xdr:col>
      <xdr:colOff>692150</xdr:colOff>
      <xdr:row>25</xdr:row>
      <xdr:rowOff>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AB5BCF-4A33-409D-AEC5-84B0DF6C2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8410" y="7631546"/>
          <a:ext cx="143740" cy="178955"/>
        </a:xfrm>
        <a:prstGeom prst="rect">
          <a:avLst/>
        </a:prstGeom>
      </xdr:spPr>
    </xdr:pic>
    <xdr:clientData/>
  </xdr:twoCellAnchor>
  <xdr:twoCellAnchor editAs="oneCell">
    <xdr:from>
      <xdr:col>0</xdr:col>
      <xdr:colOff>559954</xdr:colOff>
      <xdr:row>25</xdr:row>
      <xdr:rowOff>17318</xdr:rowOff>
    </xdr:from>
    <xdr:to>
      <xdr:col>0</xdr:col>
      <xdr:colOff>683779</xdr:colOff>
      <xdr:row>26</xdr:row>
      <xdr:rowOff>10968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9DD081A-8974-477F-9FB4-1F9FFE98D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9954" y="7827818"/>
          <a:ext cx="123825" cy="184150"/>
        </a:xfrm>
        <a:prstGeom prst="rect">
          <a:avLst/>
        </a:prstGeom>
      </xdr:spPr>
    </xdr:pic>
    <xdr:clientData/>
  </xdr:twoCellAnchor>
  <xdr:twoCellAnchor editAs="oneCell">
    <xdr:from>
      <xdr:col>0</xdr:col>
      <xdr:colOff>531091</xdr:colOff>
      <xdr:row>26</xdr:row>
      <xdr:rowOff>11545</xdr:rowOff>
    </xdr:from>
    <xdr:to>
      <xdr:col>0</xdr:col>
      <xdr:colOff>685031</xdr:colOff>
      <xdr:row>27</xdr:row>
      <xdr:rowOff>8371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D69EC2-F6FF-4198-9514-9C3D13C0D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1091" y="8012545"/>
          <a:ext cx="153940" cy="1873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14</xdr:row>
      <xdr:rowOff>0</xdr:rowOff>
    </xdr:from>
    <xdr:ext cx="152400" cy="152400"/>
    <xdr:pic>
      <xdr:nvPicPr>
        <xdr:cNvPr id="2" name="Picture 1">
          <a:extLst>
            <a:ext uri="{FF2B5EF4-FFF2-40B4-BE49-F238E27FC236}">
              <a16:creationId xmlns:a16="http://schemas.microsoft.com/office/drawing/2014/main" id="{92E139A5-F0C5-493E-9C3A-D946EC561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35075" y="2981325"/>
          <a:ext cx="152400" cy="1524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15</xdr:row>
      <xdr:rowOff>0</xdr:rowOff>
    </xdr:from>
    <xdr:ext cx="152400" cy="152400"/>
    <xdr:pic>
      <xdr:nvPicPr>
        <xdr:cNvPr id="3" name="Picture 2">
          <a:extLst>
            <a:ext uri="{FF2B5EF4-FFF2-40B4-BE49-F238E27FC236}">
              <a16:creationId xmlns:a16="http://schemas.microsoft.com/office/drawing/2014/main" id="{33EE0A52-D343-4C67-BADA-1174148E7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35075" y="3181350"/>
          <a:ext cx="152400" cy="1524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16</xdr:row>
      <xdr:rowOff>0</xdr:rowOff>
    </xdr:from>
    <xdr:ext cx="152400" cy="152400"/>
    <xdr:pic>
      <xdr:nvPicPr>
        <xdr:cNvPr id="4" name="Picture 3">
          <a:extLst>
            <a:ext uri="{FF2B5EF4-FFF2-40B4-BE49-F238E27FC236}">
              <a16:creationId xmlns:a16="http://schemas.microsoft.com/office/drawing/2014/main" id="{94E44763-43A5-4019-8B69-436DD57C0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35075" y="3381375"/>
          <a:ext cx="152400" cy="1524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17</xdr:row>
      <xdr:rowOff>0</xdr:rowOff>
    </xdr:from>
    <xdr:ext cx="152400" cy="152400"/>
    <xdr:pic>
      <xdr:nvPicPr>
        <xdr:cNvPr id="5" name="Picture 4">
          <a:extLst>
            <a:ext uri="{FF2B5EF4-FFF2-40B4-BE49-F238E27FC236}">
              <a16:creationId xmlns:a16="http://schemas.microsoft.com/office/drawing/2014/main" id="{62676842-8E9F-449D-AC82-0E33E968B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35075" y="3581400"/>
          <a:ext cx="152400" cy="1524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18</xdr:row>
      <xdr:rowOff>0</xdr:rowOff>
    </xdr:from>
    <xdr:ext cx="152400" cy="152400"/>
    <xdr:pic>
      <xdr:nvPicPr>
        <xdr:cNvPr id="6" name="Picture 5">
          <a:extLst>
            <a:ext uri="{FF2B5EF4-FFF2-40B4-BE49-F238E27FC236}">
              <a16:creationId xmlns:a16="http://schemas.microsoft.com/office/drawing/2014/main" id="{5DA1FB45-50F2-4A99-A219-F9F81970C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35075" y="3781425"/>
          <a:ext cx="152400" cy="1524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19</xdr:row>
      <xdr:rowOff>0</xdr:rowOff>
    </xdr:from>
    <xdr:ext cx="152400" cy="152400"/>
    <xdr:pic>
      <xdr:nvPicPr>
        <xdr:cNvPr id="7" name="Picture 6">
          <a:extLst>
            <a:ext uri="{FF2B5EF4-FFF2-40B4-BE49-F238E27FC236}">
              <a16:creationId xmlns:a16="http://schemas.microsoft.com/office/drawing/2014/main" id="{39926C4D-56DE-4A92-A7F3-7B83C9079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35075" y="3981450"/>
          <a:ext cx="152400" cy="1524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24</xdr:row>
      <xdr:rowOff>0</xdr:rowOff>
    </xdr:from>
    <xdr:ext cx="152400" cy="152400"/>
    <xdr:pic>
      <xdr:nvPicPr>
        <xdr:cNvPr id="8" name="Picture 7">
          <a:extLst>
            <a:ext uri="{FF2B5EF4-FFF2-40B4-BE49-F238E27FC236}">
              <a16:creationId xmlns:a16="http://schemas.microsoft.com/office/drawing/2014/main" id="{98B3B6E2-FB6D-4AFF-9E95-DF126DC3E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35075" y="5105400"/>
          <a:ext cx="152400" cy="1524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25</xdr:row>
      <xdr:rowOff>9525</xdr:rowOff>
    </xdr:from>
    <xdr:ext cx="152400" cy="152400"/>
    <xdr:pic>
      <xdr:nvPicPr>
        <xdr:cNvPr id="9" name="Picture 8">
          <a:extLst>
            <a:ext uri="{FF2B5EF4-FFF2-40B4-BE49-F238E27FC236}">
              <a16:creationId xmlns:a16="http://schemas.microsoft.com/office/drawing/2014/main" id="{1A799CF4-2B3C-4AC5-9EDB-9B798EEAC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35075" y="5314950"/>
          <a:ext cx="152400" cy="1524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26</xdr:row>
      <xdr:rowOff>0</xdr:rowOff>
    </xdr:from>
    <xdr:ext cx="152400" cy="152400"/>
    <xdr:pic>
      <xdr:nvPicPr>
        <xdr:cNvPr id="10" name="Picture 9">
          <a:extLst>
            <a:ext uri="{FF2B5EF4-FFF2-40B4-BE49-F238E27FC236}">
              <a16:creationId xmlns:a16="http://schemas.microsoft.com/office/drawing/2014/main" id="{3E2057DC-2CA2-47D4-BC92-3EA88E5E0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35075" y="5505450"/>
          <a:ext cx="152400" cy="152400"/>
        </a:xfrm>
        <a:prstGeom prst="rect">
          <a:avLst/>
        </a:prstGeom>
      </xdr:spPr>
    </xdr:pic>
    <xdr:clientData/>
  </xdr:oneCellAnchor>
  <xdr:oneCellAnchor>
    <xdr:from>
      <xdr:col>11</xdr:col>
      <xdr:colOff>2581275</xdr:colOff>
      <xdr:row>23</xdr:row>
      <xdr:rowOff>171450</xdr:rowOff>
    </xdr:from>
    <xdr:ext cx="152400" cy="152400"/>
    <xdr:pic>
      <xdr:nvPicPr>
        <xdr:cNvPr id="11" name="Picture 10">
          <a:extLst>
            <a:ext uri="{FF2B5EF4-FFF2-40B4-BE49-F238E27FC236}">
              <a16:creationId xmlns:a16="http://schemas.microsoft.com/office/drawing/2014/main" id="{FF0106B4-DC0F-4884-A3E4-356B56D9D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96975" y="4953000"/>
          <a:ext cx="152400" cy="1524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vneet.kaur/Downloads/TEXAS%20COLLEGE-FIXED%20ASSETS%20ROLLFORWARD%20SCHEDULE%20FY202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PPE"/>
      <sheetName val="2. FY2024 Fixed Assets"/>
      <sheetName val="3. FY2024 Additions"/>
      <sheetName val="FY2023 Fixed Asset Schedule"/>
      <sheetName val="FY2023 Additions"/>
      <sheetName val="FY2022 Fixed Asset Schedule"/>
      <sheetName val="FY2021Fixed Asset Schedule"/>
      <sheetName val="Sheet1"/>
      <sheetName val="FY2020 Fixed Asset Schedule"/>
    </sheetNames>
    <sheetDataSet>
      <sheetData sheetId="0"/>
      <sheetData sheetId="1">
        <row r="250">
          <cell r="E250" t="str">
            <v>G-18.4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419F-86AB-4B4C-A0CE-0A6C9D26C5A4}">
  <dimension ref="A1:M32"/>
  <sheetViews>
    <sheetView showGridLines="0" zoomScale="91" zoomScaleNormal="91" workbookViewId="0">
      <selection activeCell="C26" sqref="C26"/>
    </sheetView>
  </sheetViews>
  <sheetFormatPr defaultColWidth="8.125" defaultRowHeight="12.75" x14ac:dyDescent="0.2"/>
  <cols>
    <col min="1" max="1" width="11.75" style="3" bestFit="1" customWidth="1"/>
    <col min="2" max="2" width="16.875" style="3" customWidth="1"/>
    <col min="3" max="3" width="36.75" style="3" bestFit="1" customWidth="1"/>
    <col min="4" max="4" width="13.875" style="3" customWidth="1"/>
    <col min="5" max="5" width="8.125" style="3"/>
    <col min="6" max="6" width="18.75" style="3" customWidth="1"/>
    <col min="7" max="7" width="11.875" style="3" bestFit="1" customWidth="1"/>
    <col min="8" max="8" width="12.25" style="3" customWidth="1"/>
    <col min="9" max="9" width="13" style="3" customWidth="1"/>
    <col min="10" max="10" width="28.125" style="3" customWidth="1"/>
    <col min="11" max="11" width="11.625" style="3" customWidth="1"/>
    <col min="12" max="12" width="9.625" style="3" bestFit="1" customWidth="1"/>
    <col min="13" max="13" width="6.125" style="3" bestFit="1" customWidth="1"/>
    <col min="14" max="14" width="12.875" style="3" customWidth="1"/>
    <col min="15" max="15" width="13.625" style="3" customWidth="1"/>
    <col min="16" max="16384" width="8.125" style="3"/>
  </cols>
  <sheetData>
    <row r="1" spans="1:13" ht="25.5" x14ac:dyDescent="0.2">
      <c r="G1" s="4" t="s">
        <v>1</v>
      </c>
    </row>
    <row r="2" spans="1:13" x14ac:dyDescent="0.2">
      <c r="A2" s="1"/>
      <c r="B2" s="5"/>
      <c r="C2" s="6"/>
      <c r="D2" s="6" t="s">
        <v>2</v>
      </c>
      <c r="E2" s="6"/>
      <c r="F2" s="6"/>
      <c r="G2" s="6"/>
      <c r="H2" s="6"/>
      <c r="I2" s="6"/>
      <c r="J2" s="7" t="s">
        <v>3</v>
      </c>
      <c r="K2" s="8"/>
      <c r="L2" s="9"/>
      <c r="M2" s="9"/>
    </row>
    <row r="3" spans="1:13" ht="25.5" x14ac:dyDescent="0.2">
      <c r="A3" s="10"/>
      <c r="B3" s="11" t="s">
        <v>4</v>
      </c>
      <c r="C3" s="12" t="s">
        <v>5</v>
      </c>
      <c r="D3" s="12" t="s">
        <v>6</v>
      </c>
      <c r="E3" s="12"/>
      <c r="F3" s="13" t="s">
        <v>7</v>
      </c>
      <c r="G3" s="13" t="s">
        <v>8</v>
      </c>
      <c r="H3" s="13" t="s">
        <v>9</v>
      </c>
      <c r="I3" s="12" t="s">
        <v>10</v>
      </c>
      <c r="J3" s="14" t="s">
        <v>11</v>
      </c>
      <c r="K3" s="15"/>
      <c r="L3" s="10"/>
      <c r="M3" s="10"/>
    </row>
    <row r="4" spans="1:13" s="23" customFormat="1" x14ac:dyDescent="0.25">
      <c r="A4" s="16"/>
      <c r="B4" s="16">
        <v>15010</v>
      </c>
      <c r="C4" s="16" t="s">
        <v>12</v>
      </c>
      <c r="D4" s="16"/>
      <c r="E4" s="17" t="s">
        <v>13</v>
      </c>
      <c r="F4" s="18">
        <f>'3. FY 2024 PPE'!D11</f>
        <v>69139.149999999994</v>
      </c>
      <c r="G4" s="18">
        <v>0</v>
      </c>
      <c r="H4" s="18">
        <f>F4+G4</f>
        <v>69139.149999999994</v>
      </c>
      <c r="I4" s="17" t="s">
        <v>14</v>
      </c>
      <c r="J4" s="19"/>
      <c r="K4" s="20"/>
      <c r="L4" s="21"/>
      <c r="M4" s="22"/>
    </row>
    <row r="5" spans="1:13" x14ac:dyDescent="0.2">
      <c r="A5" s="24"/>
      <c r="B5" s="24">
        <v>15020</v>
      </c>
      <c r="C5" s="24" t="s">
        <v>15</v>
      </c>
      <c r="D5" s="24"/>
      <c r="E5" s="24"/>
      <c r="F5" s="25">
        <v>1075469.83</v>
      </c>
      <c r="G5" s="25">
        <v>0</v>
      </c>
      <c r="H5" s="25">
        <f t="shared" ref="H5:H7" si="0">F5+G5</f>
        <v>1075469.83</v>
      </c>
      <c r="I5" s="26"/>
      <c r="J5" s="27"/>
      <c r="K5" s="28"/>
      <c r="L5" s="29"/>
      <c r="M5" s="30"/>
    </row>
    <row r="6" spans="1:13" x14ac:dyDescent="0.2">
      <c r="A6" s="24"/>
      <c r="B6" s="24">
        <v>15030</v>
      </c>
      <c r="C6" s="24" t="s">
        <v>16</v>
      </c>
      <c r="D6" s="24"/>
      <c r="E6" s="24"/>
      <c r="F6" s="25">
        <v>0</v>
      </c>
      <c r="G6" s="25">
        <f>'2. FY 2024 Addition Listing '!E50</f>
        <v>425243.63</v>
      </c>
      <c r="H6" s="25">
        <f t="shared" si="0"/>
        <v>425243.63</v>
      </c>
      <c r="I6" s="27"/>
      <c r="J6" s="27"/>
      <c r="K6" s="28"/>
      <c r="L6" s="29"/>
      <c r="M6" s="30"/>
    </row>
    <row r="7" spans="1:13" x14ac:dyDescent="0.2">
      <c r="A7" s="24"/>
      <c r="B7" s="24">
        <v>15040</v>
      </c>
      <c r="C7" s="24" t="s">
        <v>17</v>
      </c>
      <c r="D7" s="24"/>
      <c r="E7" s="24"/>
      <c r="F7" s="25">
        <v>386253.09</v>
      </c>
      <c r="G7" s="25">
        <f>'2. FY 2024 Addition Listing '!E59</f>
        <v>25548.259999999995</v>
      </c>
      <c r="H7" s="25">
        <f t="shared" si="0"/>
        <v>411801.35000000003</v>
      </c>
      <c r="I7" s="27"/>
      <c r="J7" s="27"/>
      <c r="K7" s="28"/>
      <c r="L7" s="29"/>
      <c r="M7" s="30"/>
    </row>
    <row r="8" spans="1:13" x14ac:dyDescent="0.2">
      <c r="A8" s="24"/>
      <c r="B8" s="31" t="s">
        <v>18</v>
      </c>
      <c r="C8" s="31"/>
      <c r="D8" s="31"/>
      <c r="E8" s="31"/>
      <c r="F8" s="32">
        <f>SUM(F4:F7)</f>
        <v>1530862.07</v>
      </c>
      <c r="G8" s="32">
        <f>SUM(G4:G7)</f>
        <v>450791.89</v>
      </c>
      <c r="H8" s="32">
        <f>SUM(H4:H7)</f>
        <v>1981653.96</v>
      </c>
      <c r="I8" s="33"/>
      <c r="J8" s="34">
        <f>G8</f>
        <v>450791.89</v>
      </c>
      <c r="K8" s="35" t="s">
        <v>19</v>
      </c>
      <c r="L8" s="29"/>
      <c r="M8" s="30"/>
    </row>
    <row r="9" spans="1:13" x14ac:dyDescent="0.2">
      <c r="A9" s="24"/>
      <c r="B9" s="24"/>
      <c r="C9" s="24"/>
      <c r="D9" s="24"/>
      <c r="E9" s="24"/>
      <c r="F9" s="36"/>
      <c r="G9" s="36"/>
      <c r="H9" s="36"/>
      <c r="I9" s="27"/>
      <c r="J9" s="37"/>
      <c r="K9" s="29"/>
      <c r="L9" s="29"/>
      <c r="M9" s="30"/>
    </row>
    <row r="10" spans="1:13" ht="15.75" x14ac:dyDescent="0.25">
      <c r="A10" s="24"/>
      <c r="B10" s="38">
        <v>15021</v>
      </c>
      <c r="C10" s="24" t="s">
        <v>20</v>
      </c>
      <c r="D10" s="24"/>
      <c r="E10" s="24"/>
      <c r="F10" s="39">
        <v>-535176.85</v>
      </c>
      <c r="G10" s="40">
        <f>-'3. FY 2024 PPE'!H21</f>
        <v>-73703.716916666672</v>
      </c>
      <c r="H10" s="39">
        <f>SUM(F10:G10)</f>
        <v>-608880.56691666669</v>
      </c>
      <c r="I10" s="27"/>
      <c r="J10" s="37"/>
      <c r="K10" s="29"/>
      <c r="L10" s="29"/>
      <c r="M10" s="30"/>
    </row>
    <row r="11" spans="1:13" s="23" customFormat="1" ht="15.75" x14ac:dyDescent="0.25">
      <c r="A11" s="16"/>
      <c r="B11" s="38">
        <v>15041</v>
      </c>
      <c r="C11" s="16" t="s">
        <v>21</v>
      </c>
      <c r="D11" s="16"/>
      <c r="E11" s="16"/>
      <c r="F11" s="41">
        <v>-335779.32</v>
      </c>
      <c r="G11" s="41">
        <f>-'3. FY 2024 PPE'!H28</f>
        <v>-24889.33</v>
      </c>
      <c r="H11" s="41">
        <f>SUM(F11:G11)</f>
        <v>-360668.65</v>
      </c>
      <c r="I11" s="42"/>
      <c r="J11" s="43"/>
      <c r="K11" s="20"/>
      <c r="L11" s="21"/>
      <c r="M11" s="22"/>
    </row>
    <row r="12" spans="1:13" s="23" customFormat="1" x14ac:dyDescent="0.2">
      <c r="A12" s="16"/>
      <c r="B12" s="44"/>
      <c r="C12" s="44" t="s">
        <v>22</v>
      </c>
      <c r="D12" s="44"/>
      <c r="E12" s="44"/>
      <c r="F12" s="45">
        <f>SUM(F10:F11)</f>
        <v>-870956.16999999993</v>
      </c>
      <c r="G12" s="45">
        <f t="shared" ref="G12" si="1">SUM(G10:G11)</f>
        <v>-98593.046916666673</v>
      </c>
      <c r="H12" s="45">
        <f>SUM(H10:H11)</f>
        <v>-969549.21691666672</v>
      </c>
      <c r="I12" s="46"/>
      <c r="J12" s="47">
        <f>G12</f>
        <v>-98593.046916666673</v>
      </c>
      <c r="K12" s="35" t="s">
        <v>23</v>
      </c>
      <c r="L12" s="21"/>
      <c r="M12" s="22"/>
    </row>
    <row r="13" spans="1:13" x14ac:dyDescent="0.2">
      <c r="A13" s="24"/>
      <c r="B13" s="31"/>
      <c r="C13" s="31"/>
      <c r="D13" s="31"/>
      <c r="E13" s="31"/>
      <c r="F13" s="48"/>
      <c r="G13" s="48">
        <f>-F19</f>
        <v>-66593.72</v>
      </c>
      <c r="H13" s="48"/>
      <c r="I13" s="49"/>
      <c r="J13" s="50">
        <f>G13</f>
        <v>-66593.72</v>
      </c>
      <c r="K13" s="35" t="s">
        <v>24</v>
      </c>
      <c r="L13" s="29"/>
      <c r="M13" s="30"/>
    </row>
    <row r="14" spans="1:13" x14ac:dyDescent="0.2">
      <c r="A14" s="24"/>
      <c r="B14" s="51"/>
      <c r="C14" s="51"/>
      <c r="D14" s="51"/>
      <c r="E14" s="51"/>
      <c r="F14" s="52"/>
      <c r="G14" s="52"/>
      <c r="H14" s="52"/>
      <c r="I14" s="53"/>
      <c r="J14" s="54"/>
      <c r="K14" s="35"/>
      <c r="L14" s="29"/>
      <c r="M14" s="30"/>
    </row>
    <row r="15" spans="1:13" ht="15" x14ac:dyDescent="0.35">
      <c r="A15" s="51"/>
      <c r="B15" s="51" t="s">
        <v>25</v>
      </c>
      <c r="C15" s="55" t="s">
        <v>26</v>
      </c>
      <c r="D15" s="56"/>
      <c r="E15" s="51"/>
      <c r="F15" s="57">
        <f>F8+F12</f>
        <v>659905.90000000014</v>
      </c>
      <c r="G15" s="57">
        <f t="shared" ref="G15:H15" si="2">G8+G12</f>
        <v>352198.84308333334</v>
      </c>
      <c r="H15" s="57">
        <f t="shared" si="2"/>
        <v>1012104.7430833332</v>
      </c>
      <c r="I15" s="53"/>
      <c r="J15" s="53"/>
      <c r="K15" s="58"/>
      <c r="L15" s="58"/>
      <c r="M15" s="58"/>
    </row>
    <row r="16" spans="1:13" x14ac:dyDescent="0.2">
      <c r="A16" s="24"/>
      <c r="B16" s="24" t="s">
        <v>25</v>
      </c>
      <c r="C16" s="55"/>
      <c r="D16" s="59"/>
      <c r="E16" s="59"/>
      <c r="F16" s="60"/>
      <c r="G16" s="60"/>
      <c r="H16" s="60"/>
      <c r="I16" s="61"/>
      <c r="J16" s="27"/>
      <c r="K16" s="60"/>
      <c r="L16" s="60"/>
      <c r="M16" s="60"/>
    </row>
    <row r="17" spans="1:13" x14ac:dyDescent="0.2">
      <c r="A17" s="24"/>
      <c r="B17" s="24" t="s">
        <v>25</v>
      </c>
      <c r="C17" s="24"/>
      <c r="D17" s="62"/>
      <c r="E17" s="62"/>
      <c r="F17" s="63"/>
      <c r="G17" s="64"/>
      <c r="H17" s="63"/>
      <c r="I17" s="26"/>
      <c r="J17" s="27"/>
      <c r="K17" s="60"/>
      <c r="L17" s="60"/>
      <c r="M17" s="60"/>
    </row>
    <row r="18" spans="1:13" x14ac:dyDescent="0.2">
      <c r="A18" s="24"/>
      <c r="B18" s="24"/>
      <c r="C18" s="24"/>
      <c r="D18" s="65"/>
      <c r="E18" s="65"/>
      <c r="F18" s="66" t="s">
        <v>27</v>
      </c>
      <c r="G18" s="67" t="s">
        <v>28</v>
      </c>
      <c r="H18" s="66" t="s">
        <v>29</v>
      </c>
      <c r="I18" s="68"/>
      <c r="J18" s="27"/>
      <c r="K18" s="60"/>
      <c r="L18" s="60"/>
      <c r="M18" s="60"/>
    </row>
    <row r="19" spans="1:13" ht="15.75" x14ac:dyDescent="0.25">
      <c r="A19" s="24"/>
      <c r="B19" s="24"/>
      <c r="C19" s="24"/>
      <c r="D19" s="69" t="s">
        <v>30</v>
      </c>
      <c r="E19" s="62" t="s">
        <v>31</v>
      </c>
      <c r="F19" s="70">
        <f>66593.72</f>
        <v>66593.72</v>
      </c>
      <c r="G19" s="70"/>
      <c r="H19" s="71">
        <f>-G12</f>
        <v>98593.046916666673</v>
      </c>
      <c r="I19" s="72" t="s">
        <v>32</v>
      </c>
      <c r="J19" s="27"/>
      <c r="K19" s="60"/>
      <c r="L19" s="60"/>
      <c r="M19" s="60"/>
    </row>
    <row r="20" spans="1:13" x14ac:dyDescent="0.2">
      <c r="A20" s="24"/>
      <c r="B20" s="24"/>
      <c r="C20" s="24"/>
      <c r="D20" s="69" t="s">
        <v>33</v>
      </c>
      <c r="E20" s="69"/>
      <c r="F20" s="70">
        <f>F8</f>
        <v>1530862.07</v>
      </c>
      <c r="G20" s="70"/>
      <c r="H20" s="70">
        <f>H8</f>
        <v>1981653.96</v>
      </c>
      <c r="I20" s="73"/>
      <c r="J20" s="27"/>
      <c r="K20" s="60"/>
      <c r="L20" s="60"/>
      <c r="M20" s="60"/>
    </row>
    <row r="21" spans="1:13" x14ac:dyDescent="0.2">
      <c r="A21" s="24"/>
      <c r="B21" s="24"/>
      <c r="C21" s="24"/>
      <c r="D21" s="74" t="s">
        <v>34</v>
      </c>
      <c r="E21" s="74"/>
      <c r="F21" s="75">
        <f>F19/F20</f>
        <v>4.3500796907196215E-2</v>
      </c>
      <c r="G21" s="76"/>
      <c r="H21" s="75">
        <f>H19/H20</f>
        <v>4.9752907877350427E-2</v>
      </c>
      <c r="I21" s="73"/>
      <c r="J21" s="27"/>
      <c r="K21" s="60"/>
      <c r="L21" s="60"/>
      <c r="M21" s="60"/>
    </row>
    <row r="22" spans="1:13" x14ac:dyDescent="0.2">
      <c r="A22" s="1"/>
      <c r="B22" s="1"/>
      <c r="C22" s="1"/>
      <c r="D22" s="77" t="s">
        <v>35</v>
      </c>
      <c r="E22" s="78"/>
      <c r="F22" s="79" t="s">
        <v>36</v>
      </c>
      <c r="G22" s="78"/>
      <c r="H22" s="78"/>
      <c r="I22" s="78"/>
      <c r="J22" s="1"/>
      <c r="K22" s="1"/>
      <c r="L22" s="1"/>
      <c r="M22" s="1"/>
    </row>
    <row r="23" spans="1:13" x14ac:dyDescent="0.2">
      <c r="A23" s="1"/>
      <c r="B23" s="1"/>
      <c r="C23" s="1"/>
      <c r="D23" s="78"/>
      <c r="E23" s="78"/>
      <c r="F23" s="79" t="s">
        <v>37</v>
      </c>
      <c r="G23" s="78"/>
      <c r="H23" s="78"/>
      <c r="I23" s="78"/>
      <c r="J23" s="1"/>
      <c r="K23" s="1"/>
      <c r="L23" s="1"/>
      <c r="M23" s="1"/>
    </row>
    <row r="24" spans="1:13" x14ac:dyDescent="0.2">
      <c r="A24" s="2" t="s">
        <v>38</v>
      </c>
      <c r="B24" s="1"/>
      <c r="C24" s="1"/>
      <c r="D24" s="78"/>
      <c r="E24" s="78"/>
      <c r="F24" s="78"/>
      <c r="G24" s="78"/>
      <c r="H24" s="78"/>
      <c r="I24" s="78"/>
      <c r="J24" s="1"/>
      <c r="K24" s="1"/>
      <c r="L24" s="1"/>
      <c r="M24" s="1"/>
    </row>
    <row r="25" spans="1:13" ht="15" x14ac:dyDescent="0.25">
      <c r="A25" s="80"/>
      <c r="B25" s="80" t="s">
        <v>39</v>
      </c>
      <c r="C25" s="1"/>
      <c r="D25" s="78"/>
      <c r="E25" s="78"/>
      <c r="F25" s="78"/>
      <c r="G25" s="78"/>
      <c r="H25" s="78"/>
      <c r="I25" s="78"/>
      <c r="J25" s="1"/>
      <c r="K25" s="1"/>
      <c r="L25" s="1"/>
      <c r="M25" s="1"/>
    </row>
    <row r="26" spans="1:13" ht="15" x14ac:dyDescent="0.25">
      <c r="A26" s="81"/>
      <c r="B26" s="80" t="s">
        <v>40</v>
      </c>
      <c r="C26" s="1"/>
      <c r="D26" s="78"/>
      <c r="E26" s="78"/>
      <c r="F26" s="78"/>
      <c r="G26" s="78"/>
      <c r="H26" s="78"/>
      <c r="I26" s="78"/>
      <c r="J26" s="1"/>
      <c r="K26" s="1"/>
      <c r="L26" s="1"/>
      <c r="M26" s="1"/>
    </row>
    <row r="27" spans="1:13" ht="15" x14ac:dyDescent="0.25">
      <c r="A27" s="80"/>
      <c r="B27" s="80" t="s">
        <v>41</v>
      </c>
      <c r="C27" s="1"/>
      <c r="D27" s="78"/>
      <c r="E27" s="78"/>
      <c r="F27" s="78"/>
      <c r="G27" s="78"/>
      <c r="H27" s="78"/>
      <c r="I27" s="78"/>
      <c r="J27" s="1"/>
      <c r="K27" s="1"/>
      <c r="L27" s="1"/>
      <c r="M27" s="1"/>
    </row>
    <row r="28" spans="1:13" ht="15" x14ac:dyDescent="0.25">
      <c r="A28" s="1"/>
      <c r="B28" s="1"/>
      <c r="C28" s="1"/>
      <c r="D28" s="78"/>
      <c r="E28" s="78"/>
      <c r="F28" s="82"/>
      <c r="G28" s="83"/>
      <c r="H28" s="78"/>
      <c r="I28" s="78"/>
      <c r="J28" s="84"/>
      <c r="K28" s="85"/>
      <c r="L28" s="1"/>
      <c r="M28" s="1"/>
    </row>
    <row r="29" spans="1:13" ht="17.25" x14ac:dyDescent="0.4">
      <c r="D29" s="78"/>
      <c r="E29" s="78"/>
      <c r="F29" s="82"/>
      <c r="G29" s="83"/>
      <c r="H29" s="78"/>
      <c r="I29" s="78"/>
      <c r="J29" s="86"/>
      <c r="K29" s="85"/>
    </row>
    <row r="30" spans="1:13" x14ac:dyDescent="0.2">
      <c r="D30" s="78"/>
      <c r="E30" s="78"/>
      <c r="F30" s="78"/>
      <c r="G30" s="78"/>
      <c r="H30" s="78"/>
      <c r="I30" s="78"/>
      <c r="K30" s="87"/>
      <c r="L30" s="87"/>
    </row>
    <row r="31" spans="1:13" x14ac:dyDescent="0.2">
      <c r="D31" s="78"/>
      <c r="E31" s="78"/>
      <c r="F31" s="78"/>
      <c r="G31" s="78"/>
      <c r="H31" s="78"/>
      <c r="I31" s="78"/>
    </row>
    <row r="32" spans="1:13" x14ac:dyDescent="0.2">
      <c r="D32" s="78"/>
      <c r="E32" s="78"/>
      <c r="F32" s="78"/>
      <c r="G32" s="78"/>
      <c r="H32" s="78"/>
      <c r="I32" s="78"/>
    </row>
  </sheetData>
  <hyperlinks>
    <hyperlink ref="I19" location="AF_WP_c03e73d17fed40d2b36611c1cef99d2b_104746" display="50-LS" xr:uid="{B31FD3B8-B2CD-419B-AA51-2BB619E57453}"/>
  </hyperlink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C6A3-6F75-4F07-ADCD-EC7495EC7F69}">
  <dimension ref="A1:H65"/>
  <sheetViews>
    <sheetView showGridLines="0" tabSelected="1" topLeftCell="M1" workbookViewId="0">
      <selection activeCell="C39" sqref="C39"/>
    </sheetView>
  </sheetViews>
  <sheetFormatPr defaultColWidth="8.625" defaultRowHeight="15" x14ac:dyDescent="0.25"/>
  <cols>
    <col min="1" max="1" width="24.625" style="90" customWidth="1"/>
    <col min="2" max="2" width="7.625" style="90" bestFit="1" customWidth="1"/>
    <col min="3" max="3" width="25.125" style="90" customWidth="1"/>
    <col min="4" max="4" width="37.375" style="90" customWidth="1"/>
    <col min="5" max="5" width="10.875" style="90" bestFit="1" customWidth="1"/>
    <col min="6" max="6" width="19" style="90" customWidth="1"/>
    <col min="7" max="16384" width="8.625" style="90"/>
  </cols>
  <sheetData>
    <row r="1" spans="1:8" x14ac:dyDescent="0.25">
      <c r="A1" s="88" t="s">
        <v>42</v>
      </c>
      <c r="B1" s="89"/>
      <c r="C1" s="89"/>
    </row>
    <row r="2" spans="1:8" x14ac:dyDescent="0.25">
      <c r="A2" s="88" t="s">
        <v>43</v>
      </c>
      <c r="B2" s="89"/>
      <c r="C2" s="89"/>
    </row>
    <row r="3" spans="1:8" x14ac:dyDescent="0.25">
      <c r="A3" s="91">
        <v>45473</v>
      </c>
      <c r="B3" s="89"/>
      <c r="C3" s="89"/>
    </row>
    <row r="6" spans="1:8" x14ac:dyDescent="0.25">
      <c r="A6" s="89"/>
      <c r="B6" s="92" t="s">
        <v>44</v>
      </c>
      <c r="C6" s="93" t="s">
        <v>45</v>
      </c>
    </row>
    <row r="7" spans="1:8" x14ac:dyDescent="0.25">
      <c r="A7" s="89"/>
      <c r="B7" s="92"/>
      <c r="C7" s="94"/>
    </row>
    <row r="8" spans="1:8" x14ac:dyDescent="0.25">
      <c r="A8" s="89"/>
      <c r="B8" s="92" t="s">
        <v>46</v>
      </c>
      <c r="C8" s="95" t="s">
        <v>47</v>
      </c>
    </row>
    <row r="9" spans="1:8" x14ac:dyDescent="0.25">
      <c r="A9" s="89"/>
      <c r="B9" s="92"/>
      <c r="C9" s="96"/>
    </row>
    <row r="10" spans="1:8" x14ac:dyDescent="0.25">
      <c r="A10" s="89"/>
      <c r="B10" s="92" t="s">
        <v>48</v>
      </c>
      <c r="C10" s="93" t="s">
        <v>49</v>
      </c>
    </row>
    <row r="11" spans="1:8" x14ac:dyDescent="0.25">
      <c r="A11" s="89"/>
      <c r="B11" s="92" t="s">
        <v>50</v>
      </c>
      <c r="C11" s="97" t="s">
        <v>51</v>
      </c>
    </row>
    <row r="12" spans="1:8" x14ac:dyDescent="0.25">
      <c r="A12" s="89"/>
      <c r="B12" s="94"/>
      <c r="C12" s="94"/>
    </row>
    <row r="13" spans="1:8" x14ac:dyDescent="0.25">
      <c r="A13" s="98" t="s">
        <v>52</v>
      </c>
      <c r="B13" s="98" t="s">
        <v>0</v>
      </c>
      <c r="C13" s="98" t="s">
        <v>53</v>
      </c>
      <c r="D13" s="98" t="s">
        <v>54</v>
      </c>
      <c r="E13" s="98" t="s">
        <v>55</v>
      </c>
      <c r="G13" s="99"/>
    </row>
    <row r="14" spans="1:8" x14ac:dyDescent="0.25">
      <c r="A14" s="100" t="s">
        <v>56</v>
      </c>
      <c r="B14" s="101"/>
      <c r="C14" s="101"/>
      <c r="D14" s="101"/>
      <c r="E14" s="101"/>
      <c r="G14" s="99"/>
    </row>
    <row r="15" spans="1:8" x14ac:dyDescent="0.25">
      <c r="B15" s="102" t="s">
        <v>57</v>
      </c>
      <c r="C15" s="103" t="s">
        <v>58</v>
      </c>
      <c r="D15" s="103" t="s">
        <v>59</v>
      </c>
      <c r="E15" s="104">
        <v>65994</v>
      </c>
      <c r="F15" s="105"/>
      <c r="G15" s="105"/>
      <c r="H15" s="105"/>
    </row>
    <row r="16" spans="1:8" x14ac:dyDescent="0.25">
      <c r="A16" s="106"/>
      <c r="B16" s="102" t="s">
        <v>60</v>
      </c>
      <c r="C16" s="103" t="s">
        <v>58</v>
      </c>
      <c r="D16" s="103" t="s">
        <v>61</v>
      </c>
      <c r="E16" s="104">
        <v>65994</v>
      </c>
      <c r="F16" s="105"/>
    </row>
    <row r="17" spans="1:5" x14ac:dyDescent="0.25">
      <c r="A17" s="106"/>
      <c r="B17" s="102" t="s">
        <v>62</v>
      </c>
      <c r="C17" s="103" t="s">
        <v>63</v>
      </c>
      <c r="D17" s="103" t="s">
        <v>64</v>
      </c>
      <c r="E17" s="104">
        <v>29128.69</v>
      </c>
    </row>
    <row r="18" spans="1:5" x14ac:dyDescent="0.25">
      <c r="A18" s="106"/>
      <c r="B18" s="102" t="s">
        <v>65</v>
      </c>
      <c r="C18" s="103" t="s">
        <v>66</v>
      </c>
      <c r="D18" s="103" t="s">
        <v>67</v>
      </c>
      <c r="E18" s="104">
        <v>25000</v>
      </c>
    </row>
    <row r="19" spans="1:5" x14ac:dyDescent="0.25">
      <c r="A19" s="106"/>
      <c r="B19" s="102" t="s">
        <v>68</v>
      </c>
      <c r="C19" s="103" t="s">
        <v>63</v>
      </c>
      <c r="D19" s="103" t="s">
        <v>69</v>
      </c>
      <c r="E19" s="104">
        <v>16550</v>
      </c>
    </row>
    <row r="20" spans="1:5" x14ac:dyDescent="0.25">
      <c r="A20" s="106"/>
      <c r="B20" s="102" t="s">
        <v>70</v>
      </c>
      <c r="C20" s="103" t="s">
        <v>63</v>
      </c>
      <c r="D20" s="103" t="s">
        <v>71</v>
      </c>
      <c r="E20" s="104">
        <v>15044.5</v>
      </c>
    </row>
    <row r="21" spans="1:5" x14ac:dyDescent="0.25">
      <c r="A21" s="106"/>
      <c r="B21" s="102" t="s">
        <v>72</v>
      </c>
      <c r="C21" s="103" t="s">
        <v>63</v>
      </c>
      <c r="D21" s="103" t="s">
        <v>73</v>
      </c>
      <c r="E21" s="104">
        <v>15044.5</v>
      </c>
    </row>
    <row r="22" spans="1:5" x14ac:dyDescent="0.25">
      <c r="A22" s="106"/>
      <c r="B22" s="102" t="s">
        <v>74</v>
      </c>
      <c r="C22" s="103" t="s">
        <v>63</v>
      </c>
      <c r="D22" s="103"/>
      <c r="E22" s="104">
        <v>15000</v>
      </c>
    </row>
    <row r="23" spans="1:5" x14ac:dyDescent="0.25">
      <c r="A23" s="106"/>
      <c r="B23" s="102" t="s">
        <v>75</v>
      </c>
      <c r="C23" s="103" t="s">
        <v>63</v>
      </c>
      <c r="D23" s="103" t="s">
        <v>76</v>
      </c>
      <c r="E23" s="104">
        <v>15000</v>
      </c>
    </row>
    <row r="24" spans="1:5" x14ac:dyDescent="0.25">
      <c r="A24" s="106"/>
      <c r="B24" s="102" t="s">
        <v>77</v>
      </c>
      <c r="C24" s="103" t="s">
        <v>63</v>
      </c>
      <c r="D24" s="103"/>
      <c r="E24" s="104">
        <v>14110</v>
      </c>
    </row>
    <row r="25" spans="1:5" x14ac:dyDescent="0.25">
      <c r="A25" s="106"/>
      <c r="B25" s="102" t="s">
        <v>78</v>
      </c>
      <c r="C25" s="103" t="s">
        <v>63</v>
      </c>
      <c r="D25" s="103"/>
      <c r="E25" s="104">
        <v>12565</v>
      </c>
    </row>
    <row r="26" spans="1:5" x14ac:dyDescent="0.25">
      <c r="A26" s="106"/>
      <c r="B26" s="102" t="s">
        <v>79</v>
      </c>
      <c r="C26" s="103" t="s">
        <v>66</v>
      </c>
      <c r="D26" s="103" t="s">
        <v>80</v>
      </c>
      <c r="E26" s="104">
        <v>10000</v>
      </c>
    </row>
    <row r="27" spans="1:5" x14ac:dyDescent="0.25">
      <c r="A27" s="106"/>
      <c r="B27" s="102" t="s">
        <v>81</v>
      </c>
      <c r="C27" s="103" t="s">
        <v>66</v>
      </c>
      <c r="D27" s="103" t="s">
        <v>82</v>
      </c>
      <c r="E27" s="104">
        <v>10000</v>
      </c>
    </row>
    <row r="28" spans="1:5" x14ac:dyDescent="0.25">
      <c r="A28" s="106"/>
      <c r="B28" s="107" t="s">
        <v>70</v>
      </c>
      <c r="C28" s="105" t="s">
        <v>66</v>
      </c>
      <c r="D28" s="105" t="s">
        <v>71</v>
      </c>
      <c r="E28" s="108">
        <v>10000</v>
      </c>
    </row>
    <row r="29" spans="1:5" x14ac:dyDescent="0.25">
      <c r="A29" s="106"/>
      <c r="B29" s="107" t="s">
        <v>83</v>
      </c>
      <c r="C29" s="105" t="s">
        <v>63</v>
      </c>
      <c r="D29" s="105" t="s">
        <v>84</v>
      </c>
      <c r="E29" s="108">
        <v>9000</v>
      </c>
    </row>
    <row r="30" spans="1:5" x14ac:dyDescent="0.25">
      <c r="A30" s="106"/>
      <c r="B30" s="107" t="s">
        <v>79</v>
      </c>
      <c r="C30" s="105" t="s">
        <v>85</v>
      </c>
      <c r="D30" s="105" t="s">
        <v>80</v>
      </c>
      <c r="E30" s="108">
        <v>8218.6200000000008</v>
      </c>
    </row>
    <row r="31" spans="1:5" x14ac:dyDescent="0.25">
      <c r="A31" s="106"/>
      <c r="B31" s="107" t="s">
        <v>72</v>
      </c>
      <c r="C31" s="105" t="s">
        <v>85</v>
      </c>
      <c r="D31" s="105" t="s">
        <v>73</v>
      </c>
      <c r="E31" s="108">
        <v>8218.6200000000008</v>
      </c>
    </row>
    <row r="32" spans="1:5" x14ac:dyDescent="0.25">
      <c r="A32" s="106"/>
      <c r="B32" s="102" t="s">
        <v>72</v>
      </c>
      <c r="C32" s="103" t="s">
        <v>86</v>
      </c>
      <c r="D32" s="103" t="s">
        <v>87</v>
      </c>
      <c r="E32" s="104">
        <v>6332.05</v>
      </c>
    </row>
    <row r="33" spans="1:5" x14ac:dyDescent="0.25">
      <c r="A33" s="106"/>
      <c r="B33" s="107" t="s">
        <v>88</v>
      </c>
      <c r="C33" s="105" t="s">
        <v>63</v>
      </c>
      <c r="D33" s="105" t="s">
        <v>89</v>
      </c>
      <c r="E33" s="108">
        <v>5065.5200000000004</v>
      </c>
    </row>
    <row r="34" spans="1:5" x14ac:dyDescent="0.25">
      <c r="A34" s="106"/>
      <c r="B34" s="102" t="s">
        <v>90</v>
      </c>
      <c r="C34" s="103" t="s">
        <v>66</v>
      </c>
      <c r="D34" s="103"/>
      <c r="E34" s="104">
        <v>5000</v>
      </c>
    </row>
    <row r="35" spans="1:5" x14ac:dyDescent="0.25">
      <c r="A35" s="106"/>
      <c r="B35" s="107" t="s">
        <v>91</v>
      </c>
      <c r="C35" s="105" t="s">
        <v>86</v>
      </c>
      <c r="D35" s="105" t="s">
        <v>92</v>
      </c>
      <c r="E35" s="108">
        <v>5000</v>
      </c>
    </row>
    <row r="36" spans="1:5" x14ac:dyDescent="0.25">
      <c r="A36" s="106"/>
      <c r="B36" s="107" t="s">
        <v>93</v>
      </c>
      <c r="C36" s="105" t="s">
        <v>86</v>
      </c>
      <c r="D36" s="105" t="s">
        <v>94</v>
      </c>
      <c r="E36" s="108">
        <v>5000</v>
      </c>
    </row>
    <row r="37" spans="1:5" x14ac:dyDescent="0.25">
      <c r="A37" s="106"/>
      <c r="B37" s="107" t="s">
        <v>95</v>
      </c>
      <c r="C37" s="105" t="s">
        <v>86</v>
      </c>
      <c r="D37" s="105" t="s">
        <v>94</v>
      </c>
      <c r="E37" s="108">
        <v>5000</v>
      </c>
    </row>
    <row r="38" spans="1:5" x14ac:dyDescent="0.25">
      <c r="A38" s="106"/>
      <c r="B38" s="107" t="s">
        <v>96</v>
      </c>
      <c r="C38" s="105" t="s">
        <v>66</v>
      </c>
      <c r="D38" s="105" t="s">
        <v>97</v>
      </c>
      <c r="E38" s="108">
        <v>5000</v>
      </c>
    </row>
    <row r="39" spans="1:5" x14ac:dyDescent="0.25">
      <c r="A39" s="106"/>
      <c r="B39" s="107" t="s">
        <v>98</v>
      </c>
      <c r="C39" s="105" t="s">
        <v>86</v>
      </c>
      <c r="D39" s="105" t="s">
        <v>94</v>
      </c>
      <c r="E39" s="108">
        <v>5000</v>
      </c>
    </row>
    <row r="40" spans="1:5" x14ac:dyDescent="0.25">
      <c r="A40" s="106"/>
      <c r="B40" s="107" t="s">
        <v>72</v>
      </c>
      <c r="C40" s="105" t="s">
        <v>63</v>
      </c>
      <c r="D40" s="105" t="s">
        <v>73</v>
      </c>
      <c r="E40" s="108">
        <v>5000</v>
      </c>
    </row>
    <row r="41" spans="1:5" x14ac:dyDescent="0.25">
      <c r="A41" s="106"/>
      <c r="B41" s="107" t="s">
        <v>99</v>
      </c>
      <c r="C41" s="105" t="s">
        <v>66</v>
      </c>
      <c r="D41" s="105" t="s">
        <v>64</v>
      </c>
      <c r="E41" s="108">
        <v>5000</v>
      </c>
    </row>
    <row r="42" spans="1:5" x14ac:dyDescent="0.25">
      <c r="A42" s="106"/>
      <c r="B42" s="107" t="s">
        <v>100</v>
      </c>
      <c r="C42" s="105" t="s">
        <v>66</v>
      </c>
      <c r="D42" s="105" t="s">
        <v>64</v>
      </c>
      <c r="E42" s="108">
        <v>5000</v>
      </c>
    </row>
    <row r="43" spans="1:5" x14ac:dyDescent="0.25">
      <c r="A43" s="106"/>
      <c r="B43" s="107" t="s">
        <v>101</v>
      </c>
      <c r="C43" s="105" t="s">
        <v>66</v>
      </c>
      <c r="D43" s="105" t="s">
        <v>64</v>
      </c>
      <c r="E43" s="108">
        <v>5000</v>
      </c>
    </row>
    <row r="44" spans="1:5" x14ac:dyDescent="0.25">
      <c r="A44" s="106"/>
      <c r="B44" s="107" t="s">
        <v>102</v>
      </c>
      <c r="C44" s="105" t="s">
        <v>66</v>
      </c>
      <c r="D44" s="105" t="s">
        <v>67</v>
      </c>
      <c r="E44" s="108">
        <v>5000</v>
      </c>
    </row>
    <row r="45" spans="1:5" x14ac:dyDescent="0.25">
      <c r="A45" s="106"/>
      <c r="B45" s="107" t="s">
        <v>81</v>
      </c>
      <c r="C45" s="105" t="s">
        <v>63</v>
      </c>
      <c r="D45" s="105" t="s">
        <v>82</v>
      </c>
      <c r="E45" s="108">
        <v>4630.54</v>
      </c>
    </row>
    <row r="46" spans="1:5" x14ac:dyDescent="0.25">
      <c r="A46" s="106"/>
      <c r="B46" s="107" t="s">
        <v>74</v>
      </c>
      <c r="C46" s="105" t="s">
        <v>63</v>
      </c>
      <c r="D46" s="105"/>
      <c r="E46" s="108">
        <v>3322.64</v>
      </c>
    </row>
    <row r="47" spans="1:5" x14ac:dyDescent="0.25">
      <c r="A47" s="106"/>
      <c r="B47" s="102" t="s">
        <v>103</v>
      </c>
      <c r="C47" s="103" t="s">
        <v>86</v>
      </c>
      <c r="D47" s="103" t="s">
        <v>94</v>
      </c>
      <c r="E47" s="104">
        <v>3024.95</v>
      </c>
    </row>
    <row r="48" spans="1:5" x14ac:dyDescent="0.25">
      <c r="A48" s="106"/>
      <c r="B48" s="107" t="s">
        <v>104</v>
      </c>
      <c r="C48" s="105" t="s">
        <v>85</v>
      </c>
      <c r="D48" s="105"/>
      <c r="E48" s="108">
        <v>3000</v>
      </c>
    </row>
    <row r="50" spans="1:6" x14ac:dyDescent="0.25">
      <c r="B50" s="109" t="s">
        <v>105</v>
      </c>
      <c r="C50" s="110"/>
      <c r="D50" s="111"/>
      <c r="E50" s="112">
        <f>SUM(E15:E48)</f>
        <v>425243.63</v>
      </c>
    </row>
    <row r="52" spans="1:6" x14ac:dyDescent="0.25">
      <c r="A52" s="106" t="s">
        <v>106</v>
      </c>
    </row>
    <row r="53" spans="1:6" x14ac:dyDescent="0.25">
      <c r="A53" s="106"/>
      <c r="B53" s="102" t="s">
        <v>107</v>
      </c>
      <c r="C53" s="103" t="s">
        <v>108</v>
      </c>
      <c r="D53" s="103"/>
      <c r="E53" s="104">
        <v>7685.41</v>
      </c>
    </row>
    <row r="54" spans="1:6" x14ac:dyDescent="0.25">
      <c r="A54" s="106"/>
      <c r="B54" s="102" t="s">
        <v>109</v>
      </c>
      <c r="C54" s="103" t="s">
        <v>108</v>
      </c>
      <c r="D54" s="103" t="s">
        <v>110</v>
      </c>
      <c r="E54" s="104">
        <v>5996.08</v>
      </c>
    </row>
    <row r="55" spans="1:6" x14ac:dyDescent="0.25">
      <c r="A55" s="106"/>
      <c r="B55" s="102" t="s">
        <v>111</v>
      </c>
      <c r="C55" s="103" t="s">
        <v>108</v>
      </c>
      <c r="D55" s="103"/>
      <c r="E55" s="104">
        <v>5000</v>
      </c>
    </row>
    <row r="56" spans="1:6" x14ac:dyDescent="0.25">
      <c r="A56" s="106"/>
      <c r="B56" s="107" t="s">
        <v>109</v>
      </c>
      <c r="C56" s="105" t="s">
        <v>108</v>
      </c>
      <c r="D56" s="105" t="s">
        <v>112</v>
      </c>
      <c r="E56" s="108">
        <v>4791.6000000000004</v>
      </c>
    </row>
    <row r="57" spans="1:6" x14ac:dyDescent="0.25">
      <c r="A57" s="106"/>
      <c r="B57" s="107" t="s">
        <v>77</v>
      </c>
      <c r="C57" s="105" t="s">
        <v>113</v>
      </c>
      <c r="D57" s="105" t="s">
        <v>114</v>
      </c>
      <c r="E57" s="108">
        <v>1725.17</v>
      </c>
    </row>
    <row r="58" spans="1:6" x14ac:dyDescent="0.25">
      <c r="A58" s="106"/>
      <c r="B58" s="107" t="s">
        <v>95</v>
      </c>
      <c r="C58" s="105" t="s">
        <v>108</v>
      </c>
      <c r="D58" s="105"/>
      <c r="E58" s="108">
        <v>350</v>
      </c>
    </row>
    <row r="59" spans="1:6" x14ac:dyDescent="0.25">
      <c r="B59" s="109" t="s">
        <v>115</v>
      </c>
      <c r="C59" s="113"/>
      <c r="D59" s="113"/>
      <c r="E59" s="112">
        <f>SUM(E53:E58)</f>
        <v>25548.259999999995</v>
      </c>
    </row>
    <row r="61" spans="1:6" x14ac:dyDescent="0.25">
      <c r="B61" s="114" t="s">
        <v>116</v>
      </c>
      <c r="C61" s="113"/>
      <c r="D61" s="113"/>
      <c r="E61" s="115">
        <f>E50+E59</f>
        <v>450791.89</v>
      </c>
    </row>
    <row r="62" spans="1:6" x14ac:dyDescent="0.25">
      <c r="E62" s="116"/>
    </row>
    <row r="63" spans="1:6" x14ac:dyDescent="0.25">
      <c r="C63" s="117" t="s">
        <v>117</v>
      </c>
      <c r="E63" s="118">
        <f>E15+E16+E17+E18+E19+E20+E21+E22+E23+E24+E25+E26+E27+E32+E34+E47+E53+E54+E55</f>
        <v>342469.18</v>
      </c>
      <c r="F63" s="117" t="s">
        <v>118</v>
      </c>
    </row>
    <row r="64" spans="1:6" x14ac:dyDescent="0.25">
      <c r="E64" s="116"/>
    </row>
    <row r="65" spans="3:5" x14ac:dyDescent="0.25">
      <c r="C65" s="117" t="s">
        <v>119</v>
      </c>
      <c r="E65" s="119">
        <f>E63/E61</f>
        <v>0.75970572585056928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F893-9108-4E06-9154-268FE4E957B5}">
  <dimension ref="A1:N48"/>
  <sheetViews>
    <sheetView showGridLines="0" zoomScale="77" zoomScaleNormal="77" workbookViewId="0">
      <selection activeCell="C39" sqref="C39"/>
    </sheetView>
  </sheetViews>
  <sheetFormatPr defaultColWidth="11" defaultRowHeight="15.75" x14ac:dyDescent="0.25"/>
  <cols>
    <col min="1" max="1" width="3.875" customWidth="1"/>
    <col min="2" max="2" width="27.375" customWidth="1"/>
    <col min="3" max="3" width="7.375" bestFit="1" customWidth="1"/>
    <col min="4" max="4" width="17.5" customWidth="1"/>
    <col min="5" max="5" width="17.375" customWidth="1"/>
    <col min="6" max="6" width="10.375" customWidth="1"/>
    <col min="7" max="9" width="14.125" customWidth="1"/>
    <col min="10" max="10" width="14.875" bestFit="1" customWidth="1"/>
    <col min="11" max="11" width="7.375" customWidth="1"/>
    <col min="12" max="12" width="34.375" bestFit="1" customWidth="1"/>
  </cols>
  <sheetData>
    <row r="1" spans="1:14" x14ac:dyDescent="0.25">
      <c r="A1" s="120" t="s">
        <v>120</v>
      </c>
    </row>
    <row r="2" spans="1:14" x14ac:dyDescent="0.25">
      <c r="A2" s="120" t="s">
        <v>121</v>
      </c>
    </row>
    <row r="3" spans="1:14" x14ac:dyDescent="0.25">
      <c r="A3" s="121"/>
      <c r="B3" s="121"/>
    </row>
    <row r="4" spans="1:14" ht="23.25" x14ac:dyDescent="0.35">
      <c r="A4" s="122" t="s">
        <v>122</v>
      </c>
      <c r="B4" s="122"/>
      <c r="C4" s="122"/>
      <c r="D4" s="122"/>
      <c r="E4" s="122"/>
      <c r="F4" s="122"/>
      <c r="G4" s="122"/>
      <c r="H4" s="122"/>
      <c r="I4" s="122"/>
      <c r="J4" s="122"/>
    </row>
    <row r="5" spans="1:14" ht="23.25" x14ac:dyDescent="0.35">
      <c r="A5" s="122" t="s">
        <v>123</v>
      </c>
      <c r="B5" s="122"/>
      <c r="C5" s="122"/>
      <c r="D5" s="122"/>
      <c r="E5" s="122"/>
      <c r="F5" s="122"/>
      <c r="G5" s="122"/>
      <c r="H5" s="122"/>
      <c r="I5" s="122"/>
      <c r="J5" s="122"/>
    </row>
    <row r="6" spans="1:14" x14ac:dyDescent="0.25">
      <c r="A6" s="121"/>
      <c r="B6" s="121"/>
    </row>
    <row r="7" spans="1:14" ht="16.5" thickBot="1" x14ac:dyDescent="0.3">
      <c r="A7" s="120" t="s">
        <v>124</v>
      </c>
      <c r="J7" s="123">
        <v>45473</v>
      </c>
    </row>
    <row r="8" spans="1:14" ht="32.25" thickBot="1" x14ac:dyDescent="0.3">
      <c r="A8" s="124" t="s">
        <v>5</v>
      </c>
      <c r="B8" s="124"/>
      <c r="C8" s="125" t="s">
        <v>125</v>
      </c>
      <c r="D8" s="126" t="s">
        <v>126</v>
      </c>
      <c r="E8" s="125" t="s">
        <v>127</v>
      </c>
      <c r="F8" s="126" t="s">
        <v>128</v>
      </c>
      <c r="G8" s="125" t="s">
        <v>129</v>
      </c>
      <c r="H8" s="126" t="s">
        <v>30</v>
      </c>
      <c r="I8" s="125" t="s">
        <v>130</v>
      </c>
      <c r="J8" s="127" t="s">
        <v>131</v>
      </c>
      <c r="K8" s="128"/>
      <c r="L8" s="129" t="s">
        <v>132</v>
      </c>
      <c r="N8" s="129" t="s">
        <v>133</v>
      </c>
    </row>
    <row r="9" spans="1:14" x14ac:dyDescent="0.25">
      <c r="A9" s="130" t="s">
        <v>12</v>
      </c>
      <c r="B9" s="130"/>
      <c r="C9" s="131"/>
    </row>
    <row r="10" spans="1:14" ht="6.95" customHeight="1" x14ac:dyDescent="0.25">
      <c r="C10" s="131"/>
      <c r="L10" s="132"/>
    </row>
    <row r="11" spans="1:14" x14ac:dyDescent="0.25">
      <c r="A11" t="s">
        <v>134</v>
      </c>
      <c r="C11" s="131">
        <v>1986</v>
      </c>
      <c r="D11" s="133">
        <v>69139.149999999994</v>
      </c>
      <c r="E11" s="134"/>
      <c r="F11" s="135"/>
      <c r="G11" s="133">
        <v>0</v>
      </c>
      <c r="H11" s="133">
        <v>0</v>
      </c>
      <c r="I11" s="133">
        <f>+G11+H11</f>
        <v>0</v>
      </c>
      <c r="J11" s="133">
        <f>+D11-I11</f>
        <v>69139.149999999994</v>
      </c>
      <c r="L11" s="132">
        <v>0</v>
      </c>
    </row>
    <row r="12" spans="1:14" x14ac:dyDescent="0.25">
      <c r="C12" s="131"/>
      <c r="D12" s="136"/>
      <c r="E12" s="131"/>
      <c r="G12" s="136"/>
      <c r="H12" s="136"/>
      <c r="I12" s="136"/>
      <c r="J12" s="136"/>
    </row>
    <row r="13" spans="1:14" x14ac:dyDescent="0.25">
      <c r="A13" s="130" t="s">
        <v>135</v>
      </c>
      <c r="B13" s="130"/>
      <c r="C13" s="131"/>
      <c r="D13" s="136"/>
      <c r="E13" s="131"/>
      <c r="G13" s="136"/>
      <c r="H13" s="136"/>
      <c r="I13" s="136"/>
      <c r="J13" s="136"/>
    </row>
    <row r="14" spans="1:14" ht="6.95" customHeight="1" x14ac:dyDescent="0.25">
      <c r="C14" s="131"/>
      <c r="D14" s="136"/>
      <c r="E14" s="131"/>
      <c r="F14" s="131"/>
      <c r="G14" s="136"/>
      <c r="H14" s="136"/>
      <c r="I14" s="136"/>
      <c r="J14" s="136"/>
    </row>
    <row r="15" spans="1:14" x14ac:dyDescent="0.25">
      <c r="A15" t="s">
        <v>136</v>
      </c>
      <c r="C15" s="131">
        <v>1986</v>
      </c>
      <c r="D15" s="137">
        <f>701391.48-D11</f>
        <v>632252.32999999996</v>
      </c>
      <c r="E15" s="131">
        <v>40</v>
      </c>
      <c r="F15" s="131" t="s">
        <v>137</v>
      </c>
      <c r="G15" s="137">
        <v>500966.19650000002</v>
      </c>
      <c r="H15" s="137">
        <f>+D15/E15</f>
        <v>15806.308249999998</v>
      </c>
      <c r="I15" s="137">
        <f>+G15+H15</f>
        <v>516772.50475000002</v>
      </c>
      <c r="J15" s="137">
        <f>+D15-I15</f>
        <v>115479.82524999994</v>
      </c>
      <c r="L15" s="132">
        <f>D15/E15</f>
        <v>15806.308249999998</v>
      </c>
      <c r="N15" s="138" t="s">
        <v>138</v>
      </c>
    </row>
    <row r="16" spans="1:14" x14ac:dyDescent="0.25">
      <c r="B16" t="s">
        <v>139</v>
      </c>
      <c r="C16" s="131">
        <v>2022</v>
      </c>
      <c r="D16" s="136">
        <v>33117.29</v>
      </c>
      <c r="E16" s="131">
        <v>15</v>
      </c>
      <c r="F16" s="131" t="s">
        <v>137</v>
      </c>
      <c r="G16" s="136">
        <v>4415.6386666666667</v>
      </c>
      <c r="H16" s="136">
        <f t="shared" ref="H16:H19" si="0">+D16/E16</f>
        <v>2207.8193333333334</v>
      </c>
      <c r="I16" s="136">
        <f t="shared" ref="I16:I20" si="1">+G16+H16</f>
        <v>6623.4580000000005</v>
      </c>
      <c r="J16" s="136">
        <f t="shared" ref="J16:J20" si="2">+D16-I16</f>
        <v>26493.832000000002</v>
      </c>
      <c r="L16" s="132">
        <f t="shared" ref="L16:L20" si="3">D16/E16</f>
        <v>2207.8193333333334</v>
      </c>
    </row>
    <row r="17" spans="1:12" x14ac:dyDescent="0.25">
      <c r="B17" t="s">
        <v>139</v>
      </c>
      <c r="C17" s="131">
        <v>2022</v>
      </c>
      <c r="D17" s="139">
        <v>36825</v>
      </c>
      <c r="E17" s="131">
        <v>15</v>
      </c>
      <c r="F17" s="131" t="s">
        <v>137</v>
      </c>
      <c r="G17" s="136">
        <v>4910</v>
      </c>
      <c r="H17" s="136">
        <f t="shared" si="0"/>
        <v>2455</v>
      </c>
      <c r="I17" s="136">
        <f t="shared" si="1"/>
        <v>7365</v>
      </c>
      <c r="J17" s="136">
        <f t="shared" si="2"/>
        <v>29460</v>
      </c>
      <c r="L17" s="132">
        <f t="shared" si="3"/>
        <v>2455</v>
      </c>
    </row>
    <row r="18" spans="1:12" x14ac:dyDescent="0.25">
      <c r="B18" t="s">
        <v>139</v>
      </c>
      <c r="C18" s="131">
        <v>2023</v>
      </c>
      <c r="D18" s="139">
        <f>300775.21</f>
        <v>300775.21000000002</v>
      </c>
      <c r="E18" s="131">
        <v>15</v>
      </c>
      <c r="F18" s="131" t="s">
        <v>137</v>
      </c>
      <c r="G18" s="136">
        <v>20051.680666666667</v>
      </c>
      <c r="H18" s="136">
        <f t="shared" si="0"/>
        <v>20051.680666666667</v>
      </c>
      <c r="I18" s="136">
        <f t="shared" si="1"/>
        <v>40103.361333333334</v>
      </c>
      <c r="J18" s="136">
        <f t="shared" si="2"/>
        <v>260671.84866666669</v>
      </c>
      <c r="L18" s="132">
        <f t="shared" si="3"/>
        <v>20051.680666666667</v>
      </c>
    </row>
    <row r="19" spans="1:12" x14ac:dyDescent="0.25">
      <c r="B19" t="s">
        <v>139</v>
      </c>
      <c r="C19" s="131">
        <v>2023</v>
      </c>
      <c r="D19" s="139">
        <v>72500</v>
      </c>
      <c r="E19" s="131">
        <v>15</v>
      </c>
      <c r="F19" s="131" t="s">
        <v>137</v>
      </c>
      <c r="G19" s="136">
        <v>4833.333333333333</v>
      </c>
      <c r="H19" s="136">
        <f t="shared" si="0"/>
        <v>4833.333333333333</v>
      </c>
      <c r="I19" s="136">
        <f t="shared" si="1"/>
        <v>9666.6666666666661</v>
      </c>
      <c r="J19" s="136">
        <f t="shared" si="2"/>
        <v>62833.333333333336</v>
      </c>
      <c r="L19" s="132">
        <f t="shared" si="3"/>
        <v>4833.333333333333</v>
      </c>
    </row>
    <row r="20" spans="1:12" x14ac:dyDescent="0.25">
      <c r="B20" t="s">
        <v>139</v>
      </c>
      <c r="C20" s="131">
        <v>2024</v>
      </c>
      <c r="D20" s="140">
        <v>425243.63</v>
      </c>
      <c r="E20" s="131">
        <v>15</v>
      </c>
      <c r="F20" s="131" t="s">
        <v>137</v>
      </c>
      <c r="G20" s="136">
        <v>0</v>
      </c>
      <c r="H20" s="136">
        <f>+D20/E20</f>
        <v>28349.575333333334</v>
      </c>
      <c r="I20" s="136">
        <f t="shared" si="1"/>
        <v>28349.575333333334</v>
      </c>
      <c r="J20" s="136">
        <f t="shared" si="2"/>
        <v>396894.05466666666</v>
      </c>
      <c r="L20" s="132">
        <f t="shared" si="3"/>
        <v>28349.575333333334</v>
      </c>
    </row>
    <row r="21" spans="1:12" x14ac:dyDescent="0.25">
      <c r="C21" s="131"/>
      <c r="D21" s="141">
        <f>SUM(D15:D20)</f>
        <v>1500713.46</v>
      </c>
      <c r="E21" s="131"/>
      <c r="F21" s="131"/>
      <c r="G21" s="141">
        <f>SUM(G15:G20)</f>
        <v>535176.84916666674</v>
      </c>
      <c r="H21" s="141">
        <f t="shared" ref="H21:I21" si="4">SUM(H15:H20)</f>
        <v>73703.716916666672</v>
      </c>
      <c r="I21" s="141">
        <f t="shared" si="4"/>
        <v>608880.56608333322</v>
      </c>
      <c r="J21" s="141">
        <f>SUM(J15:J20)</f>
        <v>891832.89391666651</v>
      </c>
    </row>
    <row r="22" spans="1:12" x14ac:dyDescent="0.25">
      <c r="C22" s="131"/>
      <c r="D22" s="142"/>
      <c r="E22" s="143"/>
      <c r="F22" s="131"/>
      <c r="G22" s="136"/>
      <c r="H22" s="136"/>
      <c r="I22" s="136"/>
      <c r="J22" s="136"/>
    </row>
    <row r="23" spans="1:12" x14ac:dyDescent="0.25">
      <c r="A23" s="144" t="s">
        <v>140</v>
      </c>
      <c r="C23" s="131"/>
      <c r="D23" s="136"/>
      <c r="E23" s="131"/>
      <c r="F23" s="131"/>
      <c r="G23" s="136"/>
      <c r="H23" s="136"/>
      <c r="I23" s="136"/>
      <c r="J23" s="136"/>
    </row>
    <row r="24" spans="1:12" ht="26.1" customHeight="1" x14ac:dyDescent="0.25">
      <c r="A24" t="s">
        <v>141</v>
      </c>
      <c r="C24" s="131" t="s">
        <v>142</v>
      </c>
      <c r="D24" s="145">
        <v>349018</v>
      </c>
      <c r="E24" s="131">
        <v>7</v>
      </c>
      <c r="F24" s="131" t="s">
        <v>137</v>
      </c>
      <c r="G24" s="145">
        <v>330026.33</v>
      </c>
      <c r="H24" s="145">
        <f>3980.07*4</f>
        <v>15920.28</v>
      </c>
      <c r="I24" s="145">
        <v>345946.61000000004</v>
      </c>
      <c r="J24" s="145">
        <v>3071.3899999999558</v>
      </c>
      <c r="L24" s="145">
        <f>3980.07*4</f>
        <v>15920.28</v>
      </c>
    </row>
    <row r="25" spans="1:12" x14ac:dyDescent="0.25">
      <c r="B25" t="s">
        <v>143</v>
      </c>
      <c r="C25" s="131">
        <v>2022</v>
      </c>
      <c r="D25" s="139">
        <v>3035.85</v>
      </c>
      <c r="E25" s="131">
        <v>7</v>
      </c>
      <c r="F25" s="131" t="s">
        <v>137</v>
      </c>
      <c r="G25" s="139">
        <v>867.38571428571424</v>
      </c>
      <c r="H25" s="139">
        <f>+D25/E25</f>
        <v>433.69285714285712</v>
      </c>
      <c r="I25" s="139">
        <f>+G25+H25</f>
        <v>1301.0785714285714</v>
      </c>
      <c r="J25" s="139">
        <f>+D25-I25</f>
        <v>1734.7714285714285</v>
      </c>
      <c r="L25" s="132">
        <f t="shared" ref="L25:L27" si="5">D25/E25</f>
        <v>433.69285714285712</v>
      </c>
    </row>
    <row r="26" spans="1:12" x14ac:dyDescent="0.25">
      <c r="B26" t="s">
        <v>143</v>
      </c>
      <c r="C26" s="131">
        <v>2023</v>
      </c>
      <c r="D26" s="139">
        <v>34199.24</v>
      </c>
      <c r="E26" s="131">
        <v>7</v>
      </c>
      <c r="F26" s="131" t="s">
        <v>137</v>
      </c>
      <c r="G26" s="139">
        <v>4885.6057142857144</v>
      </c>
      <c r="H26" s="139">
        <f>+D26/E26</f>
        <v>4885.6057142857144</v>
      </c>
      <c r="I26" s="139">
        <f>+G26+H26</f>
        <v>9771.2114285714288</v>
      </c>
      <c r="J26" s="139">
        <f>+D26-I26</f>
        <v>24428.028571428571</v>
      </c>
      <c r="L26" s="132">
        <f t="shared" si="5"/>
        <v>4885.6057142857144</v>
      </c>
    </row>
    <row r="27" spans="1:12" x14ac:dyDescent="0.25">
      <c r="B27" t="s">
        <v>143</v>
      </c>
      <c r="C27" s="131">
        <v>2024</v>
      </c>
      <c r="D27" s="140">
        <v>25548.259999999995</v>
      </c>
      <c r="E27" s="131">
        <v>7</v>
      </c>
      <c r="F27" s="131" t="s">
        <v>137</v>
      </c>
      <c r="G27" s="139">
        <v>0</v>
      </c>
      <c r="H27" s="139">
        <f>+D27/E27</f>
        <v>3649.7514285714278</v>
      </c>
      <c r="I27" s="139">
        <f>+G27+H27</f>
        <v>3649.7514285714278</v>
      </c>
      <c r="J27" s="139">
        <f>+D27-I27</f>
        <v>21898.508571428567</v>
      </c>
      <c r="L27" s="132">
        <f t="shared" si="5"/>
        <v>3649.7514285714278</v>
      </c>
    </row>
    <row r="28" spans="1:12" x14ac:dyDescent="0.25">
      <c r="C28" s="131"/>
      <c r="D28" s="141">
        <f>SUM(D24:D27)</f>
        <v>411801.35</v>
      </c>
      <c r="E28" s="146"/>
      <c r="F28" s="146"/>
      <c r="G28" s="141">
        <f>SUM(G24:G27)</f>
        <v>335779.32142857142</v>
      </c>
      <c r="H28" s="141">
        <f t="shared" ref="H28:J28" si="6">SUM(H24:H27)</f>
        <v>24889.33</v>
      </c>
      <c r="I28" s="141">
        <f t="shared" si="6"/>
        <v>360668.65142857144</v>
      </c>
      <c r="J28" s="141">
        <f t="shared" si="6"/>
        <v>51132.698571428526</v>
      </c>
    </row>
    <row r="29" spans="1:12" ht="6.95" customHeight="1" x14ac:dyDescent="0.25">
      <c r="C29" s="131"/>
      <c r="D29" s="136"/>
      <c r="G29" s="136"/>
      <c r="H29" s="136"/>
      <c r="I29" s="136"/>
      <c r="J29" s="136"/>
    </row>
    <row r="30" spans="1:12" ht="16.5" thickBot="1" x14ac:dyDescent="0.3">
      <c r="C30" s="131"/>
      <c r="D30" s="147">
        <f>+D11+D21+D28</f>
        <v>1981653.96</v>
      </c>
      <c r="E30" s="148"/>
      <c r="F30" s="148"/>
      <c r="G30" s="147">
        <f>+G11+G21+G28</f>
        <v>870956.17059523822</v>
      </c>
      <c r="H30" s="149">
        <f>+H11+H21+H28</f>
        <v>98593.046916666673</v>
      </c>
      <c r="I30" s="147">
        <f>+I11+I21+I28</f>
        <v>969549.21751190466</v>
      </c>
      <c r="J30" s="147">
        <f>+J11+J21+J28</f>
        <v>1012104.7424880951</v>
      </c>
      <c r="L30" s="150">
        <f>SUM(L15:L27)</f>
        <v>98593.046916666673</v>
      </c>
    </row>
    <row r="31" spans="1:12" ht="16.5" thickTop="1" x14ac:dyDescent="0.25"/>
    <row r="32" spans="1:12" ht="30" x14ac:dyDescent="0.25">
      <c r="F32" s="151" t="s">
        <v>144</v>
      </c>
      <c r="G32" s="152" t="s">
        <v>145</v>
      </c>
      <c r="H32" s="153">
        <v>98593.05</v>
      </c>
      <c r="I32" t="s">
        <v>25</v>
      </c>
    </row>
    <row r="33" spans="1:12" x14ac:dyDescent="0.25">
      <c r="F33" s="120"/>
      <c r="G33" s="120" t="s">
        <v>146</v>
      </c>
      <c r="H33" s="154">
        <f>H30-H32</f>
        <v>-3.0833333294140175E-3</v>
      </c>
      <c r="I33" s="120"/>
    </row>
    <row r="35" spans="1:12" x14ac:dyDescent="0.25">
      <c r="A35" s="155" t="s">
        <v>133</v>
      </c>
      <c r="D35" s="156"/>
      <c r="E35" s="157"/>
    </row>
    <row r="36" spans="1:12" x14ac:dyDescent="0.25">
      <c r="C36" s="120"/>
      <c r="G36" s="146"/>
      <c r="H36" s="146"/>
      <c r="K36" s="158"/>
    </row>
    <row r="37" spans="1:12" ht="85.5" customHeight="1" x14ac:dyDescent="0.25">
      <c r="A37" s="159" t="s">
        <v>147</v>
      </c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</row>
    <row r="38" spans="1:12" x14ac:dyDescent="0.25">
      <c r="C38" s="131"/>
      <c r="D38" s="131"/>
      <c r="E38" s="131"/>
      <c r="G38" s="160"/>
      <c r="H38" s="160"/>
    </row>
    <row r="39" spans="1:12" x14ac:dyDescent="0.25">
      <c r="C39" s="131"/>
      <c r="G39" s="160"/>
      <c r="H39" s="160"/>
    </row>
    <row r="40" spans="1:12" x14ac:dyDescent="0.25">
      <c r="C40" s="131"/>
      <c r="E40" s="131"/>
      <c r="K40" s="132"/>
    </row>
    <row r="41" spans="1:12" x14ac:dyDescent="0.25">
      <c r="C41" s="131"/>
      <c r="D41" s="131"/>
      <c r="E41" s="131"/>
      <c r="G41" s="137"/>
      <c r="H41" s="137"/>
    </row>
    <row r="42" spans="1:12" x14ac:dyDescent="0.25">
      <c r="C42" s="131"/>
      <c r="D42" s="131"/>
      <c r="E42" s="131"/>
      <c r="G42" s="137"/>
      <c r="H42" s="137"/>
    </row>
    <row r="43" spans="1:12" x14ac:dyDescent="0.25">
      <c r="C43" s="131"/>
      <c r="D43" s="131"/>
      <c r="E43" s="131"/>
      <c r="G43" s="137"/>
      <c r="H43" s="137"/>
    </row>
    <row r="44" spans="1:12" x14ac:dyDescent="0.25">
      <c r="C44" s="131"/>
      <c r="D44" s="131"/>
      <c r="E44" s="131"/>
      <c r="G44" s="137"/>
      <c r="H44" s="137"/>
      <c r="J44" s="132"/>
    </row>
    <row r="45" spans="1:12" x14ac:dyDescent="0.25">
      <c r="C45" s="131"/>
      <c r="E45" s="131"/>
      <c r="G45" s="137"/>
      <c r="H45" s="137"/>
    </row>
    <row r="46" spans="1:12" x14ac:dyDescent="0.25">
      <c r="C46" s="131"/>
      <c r="E46" s="131"/>
      <c r="G46" s="136"/>
      <c r="H46" s="136"/>
    </row>
    <row r="48" spans="1:12" x14ac:dyDescent="0.25">
      <c r="H48" s="132"/>
    </row>
  </sheetData>
  <mergeCells count="3">
    <mergeCell ref="A4:J4"/>
    <mergeCell ref="A5:J5"/>
    <mergeCell ref="A37:L37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8556E-F9AE-4738-9504-FFAF8F87AB1D}">
  <dimension ref="A1:K41"/>
  <sheetViews>
    <sheetView zoomScale="80" zoomScaleNormal="80" workbookViewId="0">
      <selection activeCell="C39" sqref="C39"/>
    </sheetView>
  </sheetViews>
  <sheetFormatPr defaultColWidth="11" defaultRowHeight="15.75" x14ac:dyDescent="0.25"/>
  <cols>
    <col min="1" max="1" width="3.875" customWidth="1"/>
    <col min="2" max="2" width="27.375" customWidth="1"/>
    <col min="3" max="3" width="7.375" bestFit="1" customWidth="1"/>
    <col min="4" max="4" width="17.5" customWidth="1"/>
    <col min="5" max="5" width="10" bestFit="1" customWidth="1"/>
    <col min="6" max="6" width="7.625" bestFit="1" customWidth="1"/>
    <col min="7" max="10" width="14.125" customWidth="1"/>
    <col min="11" max="11" width="14.625" bestFit="1" customWidth="1"/>
  </cols>
  <sheetData>
    <row r="1" spans="1:10" x14ac:dyDescent="0.25">
      <c r="A1" t="s">
        <v>120</v>
      </c>
    </row>
    <row r="2" spans="1:10" x14ac:dyDescent="0.25">
      <c r="A2" t="s">
        <v>121</v>
      </c>
    </row>
    <row r="3" spans="1:10" x14ac:dyDescent="0.25">
      <c r="A3" s="121"/>
      <c r="B3" s="121"/>
    </row>
    <row r="4" spans="1:10" ht="16.5" thickBot="1" x14ac:dyDescent="0.3">
      <c r="A4" s="120" t="s">
        <v>148</v>
      </c>
    </row>
    <row r="5" spans="1:10" ht="32.25" thickBot="1" x14ac:dyDescent="0.3">
      <c r="A5" s="161" t="s">
        <v>5</v>
      </c>
      <c r="B5" s="161"/>
      <c r="C5" s="162" t="s">
        <v>125</v>
      </c>
      <c r="D5" s="163" t="s">
        <v>126</v>
      </c>
      <c r="E5" s="162" t="s">
        <v>127</v>
      </c>
      <c r="F5" s="163" t="s">
        <v>128</v>
      </c>
      <c r="G5" s="162" t="s">
        <v>129</v>
      </c>
      <c r="H5" s="163" t="s">
        <v>30</v>
      </c>
      <c r="I5" s="162" t="s">
        <v>130</v>
      </c>
      <c r="J5" s="164" t="s">
        <v>131</v>
      </c>
    </row>
    <row r="6" spans="1:10" x14ac:dyDescent="0.25">
      <c r="A6" s="130" t="s">
        <v>12</v>
      </c>
      <c r="B6" s="130"/>
      <c r="C6" s="131"/>
    </row>
    <row r="7" spans="1:10" ht="6.95" customHeight="1" x14ac:dyDescent="0.25">
      <c r="C7" s="131"/>
    </row>
    <row r="8" spans="1:10" x14ac:dyDescent="0.25">
      <c r="A8" t="s">
        <v>134</v>
      </c>
      <c r="C8" s="131">
        <v>1986</v>
      </c>
      <c r="D8" s="165">
        <v>69139.149999999994</v>
      </c>
      <c r="E8" s="166"/>
      <c r="F8" s="167"/>
      <c r="G8" s="165">
        <v>0</v>
      </c>
      <c r="H8" s="165">
        <v>0</v>
      </c>
      <c r="I8" s="165">
        <f>+G8+H8</f>
        <v>0</v>
      </c>
      <c r="J8" s="165">
        <f>+D8-I8</f>
        <v>69139.149999999994</v>
      </c>
    </row>
    <row r="9" spans="1:10" x14ac:dyDescent="0.25">
      <c r="C9" s="131"/>
      <c r="D9" s="136"/>
      <c r="E9" s="131"/>
      <c r="G9" s="136"/>
      <c r="H9" s="136"/>
      <c r="I9" s="136"/>
      <c r="J9" s="136"/>
    </row>
    <row r="10" spans="1:10" x14ac:dyDescent="0.25">
      <c r="A10" s="130" t="s">
        <v>135</v>
      </c>
      <c r="B10" s="130"/>
      <c r="C10" s="131"/>
      <c r="D10" s="136"/>
      <c r="E10" s="131"/>
      <c r="G10" s="136"/>
      <c r="H10" s="136"/>
      <c r="I10" s="136"/>
      <c r="J10" s="136"/>
    </row>
    <row r="11" spans="1:10" ht="6.95" customHeight="1" x14ac:dyDescent="0.25">
      <c r="C11" s="131"/>
      <c r="D11" s="136"/>
      <c r="E11" s="131"/>
      <c r="F11" s="131"/>
      <c r="G11" s="136"/>
      <c r="H11" s="136"/>
      <c r="I11" s="136"/>
      <c r="J11" s="136"/>
    </row>
    <row r="12" spans="1:10" x14ac:dyDescent="0.25">
      <c r="A12" t="s">
        <v>136</v>
      </c>
      <c r="C12" s="131">
        <v>1986</v>
      </c>
      <c r="D12" s="136">
        <f>701391.48-D8</f>
        <v>632252.32999999996</v>
      </c>
      <c r="E12" s="131">
        <v>40</v>
      </c>
      <c r="F12" s="131" t="s">
        <v>137</v>
      </c>
      <c r="G12" s="136">
        <f>+'2022'!I12</f>
        <v>485159.88825000002</v>
      </c>
      <c r="H12" s="136">
        <f>+D12/E12</f>
        <v>15806.308249999998</v>
      </c>
      <c r="I12" s="136">
        <f>+G12+H12</f>
        <v>500966.19650000002</v>
      </c>
      <c r="J12" s="136">
        <f>+D12-I12</f>
        <v>131286.13349999994</v>
      </c>
    </row>
    <row r="13" spans="1:10" x14ac:dyDescent="0.25">
      <c r="B13" t="s">
        <v>139</v>
      </c>
      <c r="C13" s="131">
        <v>2022</v>
      </c>
      <c r="D13" s="136">
        <v>33117.29</v>
      </c>
      <c r="E13" s="131">
        <v>15</v>
      </c>
      <c r="F13" s="131" t="s">
        <v>137</v>
      </c>
      <c r="G13" s="136">
        <f>+'2022'!I13</f>
        <v>2207.8193333333334</v>
      </c>
      <c r="H13" s="136">
        <f>+D13/E13</f>
        <v>2207.8193333333334</v>
      </c>
      <c r="I13" s="136">
        <f>+G13+H13</f>
        <v>4415.6386666666667</v>
      </c>
      <c r="J13" s="136">
        <f>+D13-I13</f>
        <v>28701.651333333335</v>
      </c>
    </row>
    <row r="14" spans="1:10" x14ac:dyDescent="0.25">
      <c r="B14" t="s">
        <v>139</v>
      </c>
      <c r="C14" s="131">
        <v>2022</v>
      </c>
      <c r="D14" s="139">
        <v>36825</v>
      </c>
      <c r="E14" s="131">
        <v>15</v>
      </c>
      <c r="F14" s="131" t="s">
        <v>137</v>
      </c>
      <c r="G14" s="136">
        <f>+'2022'!I14</f>
        <v>2455</v>
      </c>
      <c r="H14" s="136">
        <f>+D14/E14</f>
        <v>2455</v>
      </c>
      <c r="I14" s="136">
        <f>+G14+H14</f>
        <v>4910</v>
      </c>
      <c r="J14" s="136">
        <f>+D14-I14</f>
        <v>31915</v>
      </c>
    </row>
    <row r="15" spans="1:10" x14ac:dyDescent="0.25">
      <c r="B15" t="s">
        <v>139</v>
      </c>
      <c r="C15" s="131">
        <v>2023</v>
      </c>
      <c r="D15" s="139">
        <f>300775.21</f>
        <v>300775.21000000002</v>
      </c>
      <c r="E15" s="131">
        <v>15</v>
      </c>
      <c r="F15" s="131" t="s">
        <v>137</v>
      </c>
      <c r="G15" s="136">
        <v>0</v>
      </c>
      <c r="H15" s="136">
        <f>+D15/E15</f>
        <v>20051.680666666667</v>
      </c>
      <c r="I15" s="136">
        <f>+G15+H15</f>
        <v>20051.680666666667</v>
      </c>
      <c r="J15" s="136">
        <f>+D15-I15</f>
        <v>280723.52933333337</v>
      </c>
    </row>
    <row r="16" spans="1:10" x14ac:dyDescent="0.25">
      <c r="B16" t="s">
        <v>139</v>
      </c>
      <c r="C16" s="131">
        <v>2023</v>
      </c>
      <c r="D16" s="139">
        <v>72500</v>
      </c>
      <c r="E16" s="131">
        <v>15</v>
      </c>
      <c r="F16" s="131" t="s">
        <v>137</v>
      </c>
      <c r="G16" s="136">
        <v>0</v>
      </c>
      <c r="H16" s="136">
        <f>+D16/E16</f>
        <v>4833.333333333333</v>
      </c>
      <c r="I16" s="136">
        <f>+G16+H16</f>
        <v>4833.333333333333</v>
      </c>
      <c r="J16" s="136">
        <f>+D16-I16</f>
        <v>67666.666666666672</v>
      </c>
    </row>
    <row r="17" spans="1:11" x14ac:dyDescent="0.25">
      <c r="C17" s="131"/>
      <c r="D17" s="168">
        <f>SUM(D12:D16)</f>
        <v>1075469.83</v>
      </c>
      <c r="E17" s="131"/>
      <c r="F17" s="131"/>
      <c r="G17" s="168">
        <f t="shared" ref="G17:J17" si="0">SUM(G12:G16)</f>
        <v>489822.70758333337</v>
      </c>
      <c r="H17" s="168">
        <f>SUM(H12:H16)</f>
        <v>45354.141583333338</v>
      </c>
      <c r="I17" s="168">
        <f t="shared" si="0"/>
        <v>535176.84916666674</v>
      </c>
      <c r="J17" s="168">
        <f t="shared" si="0"/>
        <v>540292.98083333333</v>
      </c>
    </row>
    <row r="18" spans="1:11" x14ac:dyDescent="0.25">
      <c r="C18" s="131"/>
      <c r="D18" s="136"/>
      <c r="E18" s="131"/>
      <c r="F18" s="131"/>
      <c r="G18" s="136"/>
      <c r="H18" s="136"/>
      <c r="I18" s="136"/>
      <c r="J18" s="136"/>
    </row>
    <row r="19" spans="1:11" x14ac:dyDescent="0.25">
      <c r="A19" s="144" t="s">
        <v>140</v>
      </c>
      <c r="C19" s="131"/>
      <c r="D19" s="136"/>
      <c r="E19" s="131"/>
      <c r="F19" s="131"/>
      <c r="G19" s="136"/>
      <c r="H19" s="136"/>
      <c r="I19" s="136"/>
      <c r="J19" s="136"/>
    </row>
    <row r="20" spans="1:11" ht="6.95" customHeight="1" x14ac:dyDescent="0.25">
      <c r="C20" s="131"/>
      <c r="D20" s="136"/>
      <c r="E20" s="131"/>
      <c r="F20" s="131"/>
      <c r="G20" s="136"/>
      <c r="H20" s="136"/>
      <c r="I20" s="136"/>
      <c r="J20" s="136"/>
    </row>
    <row r="21" spans="1:11" x14ac:dyDescent="0.25">
      <c r="A21" t="s">
        <v>141</v>
      </c>
      <c r="C21" s="131" t="s">
        <v>142</v>
      </c>
      <c r="D21" s="139">
        <v>349018</v>
      </c>
      <c r="E21" s="131">
        <v>7</v>
      </c>
      <c r="F21" s="131" t="s">
        <v>137</v>
      </c>
      <c r="G21" s="139">
        <f>+'2022'!I19</f>
        <v>314106.05</v>
      </c>
      <c r="H21" s="139">
        <f>3980.07*4</f>
        <v>15920.28</v>
      </c>
      <c r="I21" s="139">
        <f>+G21+H21</f>
        <v>330026.33</v>
      </c>
      <c r="J21" s="139">
        <f>+D21-I21</f>
        <v>18991.669999999984</v>
      </c>
    </row>
    <row r="22" spans="1:11" x14ac:dyDescent="0.25">
      <c r="B22" t="s">
        <v>143</v>
      </c>
      <c r="C22" s="131">
        <v>2022</v>
      </c>
      <c r="D22" s="139">
        <v>3035.85</v>
      </c>
      <c r="E22" s="131">
        <v>7</v>
      </c>
      <c r="F22" s="131" t="s">
        <v>137</v>
      </c>
      <c r="G22" s="139">
        <f>+'2022'!I20</f>
        <v>433.69285714285712</v>
      </c>
      <c r="H22" s="139">
        <f>+D22/E22</f>
        <v>433.69285714285712</v>
      </c>
      <c r="I22" s="139">
        <f>+G22+H22</f>
        <v>867.38571428571424</v>
      </c>
      <c r="J22" s="139">
        <f>+D22-I22</f>
        <v>2168.4642857142858</v>
      </c>
    </row>
    <row r="23" spans="1:11" x14ac:dyDescent="0.25">
      <c r="B23" t="s">
        <v>143</v>
      </c>
      <c r="C23" s="131">
        <v>2023</v>
      </c>
      <c r="D23" s="139">
        <v>34199.24</v>
      </c>
      <c r="E23" s="131">
        <v>7</v>
      </c>
      <c r="F23" s="131" t="s">
        <v>137</v>
      </c>
      <c r="G23" s="139">
        <v>0</v>
      </c>
      <c r="H23" s="139">
        <f>+D23/E23</f>
        <v>4885.6057142857144</v>
      </c>
      <c r="I23" s="139">
        <f>+G23+H23</f>
        <v>4885.6057142857144</v>
      </c>
      <c r="J23" s="139">
        <f>+D23-I23</f>
        <v>29313.634285714284</v>
      </c>
    </row>
    <row r="24" spans="1:11" x14ac:dyDescent="0.25">
      <c r="C24" s="131"/>
      <c r="D24" s="168">
        <f>SUM(D21:D23)</f>
        <v>386253.08999999997</v>
      </c>
      <c r="E24" s="131"/>
      <c r="F24" s="131"/>
      <c r="G24" s="168">
        <f t="shared" ref="G24:J24" si="1">SUM(G21:G23)</f>
        <v>314539.74285714282</v>
      </c>
      <c r="H24" s="168">
        <f>SUM(H21:H23)</f>
        <v>21239.578571428574</v>
      </c>
      <c r="I24" s="168">
        <f t="shared" si="1"/>
        <v>335779.32142857142</v>
      </c>
      <c r="J24" s="168">
        <f t="shared" si="1"/>
        <v>50473.768571428554</v>
      </c>
    </row>
    <row r="25" spans="1:11" ht="6.95" customHeight="1" x14ac:dyDescent="0.25">
      <c r="C25" s="131"/>
      <c r="D25" s="136"/>
      <c r="G25" s="136"/>
      <c r="H25" s="136"/>
      <c r="I25" s="136"/>
      <c r="J25" s="136"/>
    </row>
    <row r="26" spans="1:11" ht="16.5" thickBot="1" x14ac:dyDescent="0.3">
      <c r="C26" s="131"/>
      <c r="D26" s="169">
        <f>+D8+D17+D24</f>
        <v>1530862.0699999998</v>
      </c>
      <c r="E26" s="170"/>
      <c r="F26" s="170"/>
      <c r="G26" s="169">
        <f t="shared" ref="G26:J26" si="2">+G8+G17+G24</f>
        <v>804362.45044047618</v>
      </c>
      <c r="H26" s="169">
        <f>+H8+H17+H24</f>
        <v>66593.720154761919</v>
      </c>
      <c r="I26" s="169">
        <f t="shared" si="2"/>
        <v>870956.17059523822</v>
      </c>
      <c r="J26" s="169">
        <f t="shared" si="2"/>
        <v>659905.89940476196</v>
      </c>
    </row>
    <row r="27" spans="1:11" ht="16.5" thickTop="1" x14ac:dyDescent="0.25"/>
    <row r="29" spans="1:11" x14ac:dyDescent="0.25">
      <c r="C29" s="120" t="s">
        <v>149</v>
      </c>
      <c r="G29" s="171" t="s">
        <v>150</v>
      </c>
      <c r="H29" s="171" t="s">
        <v>151</v>
      </c>
      <c r="K29" s="158"/>
    </row>
    <row r="30" spans="1:11" x14ac:dyDescent="0.25">
      <c r="C30" s="131"/>
      <c r="D30" s="131">
        <v>1</v>
      </c>
      <c r="E30" s="131">
        <v>15010</v>
      </c>
      <c r="G30" s="172">
        <v>59139.15</v>
      </c>
      <c r="H30" s="172"/>
    </row>
    <row r="31" spans="1:11" x14ac:dyDescent="0.25">
      <c r="C31" s="131"/>
      <c r="D31" s="131">
        <v>1</v>
      </c>
      <c r="E31" s="131">
        <v>15020</v>
      </c>
      <c r="G31" s="172"/>
      <c r="H31" s="172">
        <f>+G30</f>
        <v>59139.15</v>
      </c>
    </row>
    <row r="32" spans="1:11" x14ac:dyDescent="0.25">
      <c r="C32" s="131"/>
      <c r="D32" t="s">
        <v>152</v>
      </c>
      <c r="G32" s="172"/>
      <c r="H32" s="172"/>
    </row>
    <row r="33" spans="3:11" x14ac:dyDescent="0.25">
      <c r="C33" s="131"/>
      <c r="E33" s="131"/>
      <c r="K33" s="132"/>
    </row>
    <row r="34" spans="3:11" x14ac:dyDescent="0.25">
      <c r="C34" s="131"/>
      <c r="D34" s="131">
        <v>2</v>
      </c>
      <c r="E34" s="131">
        <v>15021</v>
      </c>
      <c r="G34" s="136">
        <f>550026.65-I17</f>
        <v>14849.800833333284</v>
      </c>
      <c r="H34" s="136"/>
    </row>
    <row r="35" spans="3:11" x14ac:dyDescent="0.25">
      <c r="C35" s="131"/>
      <c r="D35" s="131">
        <v>2</v>
      </c>
      <c r="E35" s="131">
        <v>15041</v>
      </c>
      <c r="G35" s="136">
        <f>336404.65-I24</f>
        <v>625.32857142860303</v>
      </c>
      <c r="H35" s="136"/>
    </row>
    <row r="36" spans="3:11" x14ac:dyDescent="0.25">
      <c r="C36" s="131"/>
      <c r="D36" s="131">
        <v>2</v>
      </c>
      <c r="E36" s="131">
        <v>50029</v>
      </c>
      <c r="G36" s="136"/>
      <c r="H36" s="136">
        <v>8235.0400000000009</v>
      </c>
    </row>
    <row r="37" spans="3:11" x14ac:dyDescent="0.25">
      <c r="C37" s="131"/>
      <c r="D37" s="131">
        <v>2</v>
      </c>
      <c r="E37" s="131">
        <v>58000</v>
      </c>
      <c r="G37" s="136"/>
      <c r="H37" s="136">
        <f>73833.81-H26</f>
        <v>7240.0898452380789</v>
      </c>
      <c r="J37" s="132"/>
    </row>
    <row r="38" spans="3:11" x14ac:dyDescent="0.25">
      <c r="C38" s="131"/>
      <c r="D38" t="s">
        <v>153</v>
      </c>
      <c r="E38" s="131"/>
      <c r="G38" s="136"/>
      <c r="H38" s="136"/>
    </row>
    <row r="39" spans="3:11" x14ac:dyDescent="0.25">
      <c r="C39" s="131"/>
      <c r="E39" s="131"/>
      <c r="G39" s="136"/>
      <c r="H39" s="136"/>
    </row>
    <row r="41" spans="3:11" x14ac:dyDescent="0.25">
      <c r="H41" s="1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7740-40FE-4724-8ED0-9E82241A924B}">
  <dimension ref="A1:P48"/>
  <sheetViews>
    <sheetView zoomScale="80" zoomScaleNormal="80" workbookViewId="0">
      <selection activeCell="C39" sqref="C39"/>
    </sheetView>
  </sheetViews>
  <sheetFormatPr defaultColWidth="11" defaultRowHeight="15.75" x14ac:dyDescent="0.25"/>
  <cols>
    <col min="1" max="1" width="3.875" customWidth="1"/>
    <col min="2" max="2" width="27.375" customWidth="1"/>
    <col min="3" max="3" width="7.375" bestFit="1" customWidth="1"/>
    <col min="4" max="4" width="14.125" customWidth="1"/>
    <col min="5" max="5" width="10" bestFit="1" customWidth="1"/>
    <col min="6" max="6" width="7.625" bestFit="1" customWidth="1"/>
    <col min="7" max="10" width="14.125" customWidth="1"/>
    <col min="12" max="12" width="12.5" bestFit="1" customWidth="1"/>
    <col min="13" max="14" width="11.875" bestFit="1" customWidth="1"/>
  </cols>
  <sheetData>
    <row r="1" spans="1:14" x14ac:dyDescent="0.25">
      <c r="A1" t="s">
        <v>120</v>
      </c>
    </row>
    <row r="2" spans="1:14" x14ac:dyDescent="0.25">
      <c r="A2" t="s">
        <v>121</v>
      </c>
    </row>
    <row r="3" spans="1:14" x14ac:dyDescent="0.25">
      <c r="A3" s="121"/>
      <c r="B3" s="121"/>
    </row>
    <row r="4" spans="1:14" ht="16.5" thickBot="1" x14ac:dyDescent="0.3">
      <c r="A4" s="120" t="s">
        <v>154</v>
      </c>
    </row>
    <row r="5" spans="1:14" ht="32.25" thickBot="1" x14ac:dyDescent="0.3">
      <c r="A5" s="161" t="s">
        <v>5</v>
      </c>
      <c r="B5" s="161"/>
      <c r="C5" s="162" t="s">
        <v>125</v>
      </c>
      <c r="D5" s="163" t="s">
        <v>126</v>
      </c>
      <c r="E5" s="162" t="s">
        <v>127</v>
      </c>
      <c r="F5" s="163" t="s">
        <v>128</v>
      </c>
      <c r="G5" s="162" t="s">
        <v>129</v>
      </c>
      <c r="H5" s="163" t="s">
        <v>30</v>
      </c>
      <c r="I5" s="162" t="s">
        <v>130</v>
      </c>
      <c r="J5" s="164" t="s">
        <v>131</v>
      </c>
    </row>
    <row r="6" spans="1:14" x14ac:dyDescent="0.25">
      <c r="A6" s="130" t="s">
        <v>12</v>
      </c>
      <c r="B6" s="130"/>
      <c r="C6" s="131"/>
    </row>
    <row r="7" spans="1:14" ht="6.95" customHeight="1" x14ac:dyDescent="0.25">
      <c r="C7" s="131"/>
    </row>
    <row r="8" spans="1:14" x14ac:dyDescent="0.25">
      <c r="A8" t="s">
        <v>134</v>
      </c>
      <c r="C8" s="131">
        <v>1986</v>
      </c>
      <c r="D8" s="165">
        <v>69139.149999999994</v>
      </c>
      <c r="E8" s="166"/>
      <c r="F8" s="167"/>
      <c r="G8" s="165">
        <v>0</v>
      </c>
      <c r="H8" s="165">
        <v>0</v>
      </c>
      <c r="I8" s="165">
        <f>+G8+H8</f>
        <v>0</v>
      </c>
      <c r="J8" s="165">
        <f>+D8-I8</f>
        <v>69139.149999999994</v>
      </c>
    </row>
    <row r="9" spans="1:14" x14ac:dyDescent="0.25">
      <c r="C9" s="131"/>
      <c r="D9" s="136"/>
      <c r="E9" s="131"/>
      <c r="G9" s="136"/>
      <c r="H9" s="136"/>
      <c r="I9" s="136"/>
      <c r="J9" s="136"/>
    </row>
    <row r="10" spans="1:14" x14ac:dyDescent="0.25">
      <c r="A10" s="130" t="s">
        <v>135</v>
      </c>
      <c r="B10" s="130"/>
      <c r="C10" s="131"/>
      <c r="D10" s="136"/>
      <c r="E10" s="131"/>
      <c r="G10" s="136"/>
      <c r="H10" s="136"/>
      <c r="I10" s="136"/>
      <c r="J10" s="136"/>
    </row>
    <row r="11" spans="1:14" ht="6.95" customHeight="1" x14ac:dyDescent="0.25">
      <c r="C11" s="131"/>
      <c r="D11" s="136"/>
      <c r="E11" s="131"/>
      <c r="F11" s="131"/>
      <c r="G11" s="136"/>
      <c r="H11" s="136"/>
      <c r="I11" s="136"/>
      <c r="J11" s="136"/>
    </row>
    <row r="12" spans="1:14" x14ac:dyDescent="0.25">
      <c r="A12" t="s">
        <v>136</v>
      </c>
      <c r="C12" s="131">
        <v>1986</v>
      </c>
      <c r="D12" s="136">
        <f>701391.48-D8</f>
        <v>632252.32999999996</v>
      </c>
      <c r="E12" s="131">
        <v>40</v>
      </c>
      <c r="F12" s="131" t="s">
        <v>137</v>
      </c>
      <c r="G12" s="136">
        <f>+'2021'!I12</f>
        <v>469353.58</v>
      </c>
      <c r="H12" s="136">
        <f>+D12/E12</f>
        <v>15806.308249999998</v>
      </c>
      <c r="I12" s="136">
        <f>+G12+H12</f>
        <v>485159.88825000002</v>
      </c>
      <c r="J12" s="136">
        <f>+D12-I12</f>
        <v>147092.44174999994</v>
      </c>
      <c r="M12" s="132"/>
      <c r="N12" s="132"/>
    </row>
    <row r="13" spans="1:14" x14ac:dyDescent="0.25">
      <c r="B13" t="s">
        <v>139</v>
      </c>
      <c r="C13" s="131">
        <v>2022</v>
      </c>
      <c r="D13" s="136">
        <v>33117.29</v>
      </c>
      <c r="E13" s="131">
        <v>15</v>
      </c>
      <c r="F13" s="131" t="s">
        <v>137</v>
      </c>
      <c r="G13" s="136">
        <v>0</v>
      </c>
      <c r="H13" s="136">
        <f>+D13/E13</f>
        <v>2207.8193333333334</v>
      </c>
      <c r="I13" s="136">
        <f>+G13+H13</f>
        <v>2207.8193333333334</v>
      </c>
      <c r="J13" s="136">
        <f>+D13-I13</f>
        <v>30909.470666666668</v>
      </c>
      <c r="M13" s="132"/>
      <c r="N13" s="132"/>
    </row>
    <row r="14" spans="1:14" x14ac:dyDescent="0.25">
      <c r="B14" t="s">
        <v>139</v>
      </c>
      <c r="C14" s="131">
        <v>2022</v>
      </c>
      <c r="D14" s="173">
        <v>36825</v>
      </c>
      <c r="E14" s="131">
        <v>15</v>
      </c>
      <c r="F14" s="131" t="s">
        <v>137</v>
      </c>
      <c r="G14" s="136">
        <v>0</v>
      </c>
      <c r="H14" s="136">
        <f>+D14/E14</f>
        <v>2455</v>
      </c>
      <c r="I14" s="136">
        <f>+G14+H14</f>
        <v>2455</v>
      </c>
      <c r="J14" s="136">
        <f>+D14-I14</f>
        <v>34370</v>
      </c>
    </row>
    <row r="15" spans="1:14" x14ac:dyDescent="0.25">
      <c r="C15" s="131"/>
      <c r="D15" s="168">
        <f>SUM(D12:D14)</f>
        <v>702194.62</v>
      </c>
      <c r="E15" s="131"/>
      <c r="F15" s="131"/>
      <c r="G15" s="168">
        <f>SUM(G12:G14)</f>
        <v>469353.58</v>
      </c>
      <c r="H15" s="168">
        <f t="shared" ref="H15:J15" si="0">SUM(H12:H14)</f>
        <v>20469.127583333331</v>
      </c>
      <c r="I15" s="168">
        <f t="shared" si="0"/>
        <v>489822.70758333337</v>
      </c>
      <c r="J15" s="168">
        <f t="shared" si="0"/>
        <v>212371.9124166666</v>
      </c>
    </row>
    <row r="16" spans="1:14" x14ac:dyDescent="0.25">
      <c r="C16" s="131"/>
      <c r="D16" s="136"/>
      <c r="E16" s="131"/>
      <c r="F16" s="131"/>
      <c r="G16" s="136"/>
      <c r="H16" s="136"/>
      <c r="I16" s="136"/>
      <c r="J16" s="136"/>
    </row>
    <row r="17" spans="1:16" x14ac:dyDescent="0.25">
      <c r="A17" s="144" t="s">
        <v>140</v>
      </c>
      <c r="C17" s="131"/>
      <c r="D17" s="136"/>
      <c r="E17" s="131"/>
      <c r="F17" s="131"/>
      <c r="G17" s="136"/>
      <c r="H17" s="136"/>
      <c r="I17" s="136"/>
      <c r="J17" s="136"/>
      <c r="M17" s="132"/>
    </row>
    <row r="18" spans="1:16" ht="6.95" customHeight="1" x14ac:dyDescent="0.25">
      <c r="C18" s="131"/>
      <c r="D18" s="136"/>
      <c r="E18" s="131"/>
      <c r="F18" s="131"/>
      <c r="G18" s="136"/>
      <c r="H18" s="136"/>
      <c r="I18" s="136"/>
      <c r="J18" s="136"/>
    </row>
    <row r="19" spans="1:16" x14ac:dyDescent="0.25">
      <c r="A19" t="s">
        <v>141</v>
      </c>
      <c r="C19" s="131" t="s">
        <v>142</v>
      </c>
      <c r="D19" s="139">
        <v>349018</v>
      </c>
      <c r="E19" s="131">
        <v>7</v>
      </c>
      <c r="F19" s="131" t="s">
        <v>137</v>
      </c>
      <c r="G19" s="139">
        <f>+'2021'!I16</f>
        <v>298185.76999999996</v>
      </c>
      <c r="H19" s="139">
        <f>3980.07*4</f>
        <v>15920.28</v>
      </c>
      <c r="I19" s="139">
        <f>+G19+H19</f>
        <v>314106.05</v>
      </c>
      <c r="J19" s="139">
        <f>+D19-I19</f>
        <v>34911.950000000012</v>
      </c>
    </row>
    <row r="20" spans="1:16" x14ac:dyDescent="0.25">
      <c r="B20" t="s">
        <v>143</v>
      </c>
      <c r="C20" s="131">
        <v>2022</v>
      </c>
      <c r="D20" s="139">
        <v>3035.85</v>
      </c>
      <c r="E20" s="131">
        <v>7</v>
      </c>
      <c r="F20" s="131" t="s">
        <v>137</v>
      </c>
      <c r="G20" s="139">
        <v>0</v>
      </c>
      <c r="H20" s="139">
        <f>+D20/E20</f>
        <v>433.69285714285712</v>
      </c>
      <c r="I20" s="139">
        <f>+G20+H20</f>
        <v>433.69285714285712</v>
      </c>
      <c r="J20" s="139">
        <f>+D20-I20</f>
        <v>2602.1571428571428</v>
      </c>
    </row>
    <row r="21" spans="1:16" x14ac:dyDescent="0.25">
      <c r="C21" s="131"/>
      <c r="D21" s="168">
        <f>SUM(D19:D20)</f>
        <v>352053.85</v>
      </c>
      <c r="E21" s="131"/>
      <c r="F21" s="131"/>
      <c r="G21" s="168">
        <f t="shared" ref="G21:J21" si="1">SUM(G19:G20)</f>
        <v>298185.76999999996</v>
      </c>
      <c r="H21" s="168">
        <f t="shared" si="1"/>
        <v>16353.972857142859</v>
      </c>
      <c r="I21" s="168">
        <f t="shared" si="1"/>
        <v>314539.74285714282</v>
      </c>
      <c r="J21" s="168">
        <f t="shared" si="1"/>
        <v>37514.107142857152</v>
      </c>
      <c r="L21" s="158"/>
    </row>
    <row r="22" spans="1:16" x14ac:dyDescent="0.25">
      <c r="C22" s="131"/>
      <c r="D22" s="136"/>
      <c r="G22" s="136"/>
      <c r="H22" s="136"/>
      <c r="I22" s="136"/>
      <c r="J22" s="136"/>
    </row>
    <row r="23" spans="1:16" ht="16.5" thickBot="1" x14ac:dyDescent="0.3">
      <c r="C23" s="131"/>
      <c r="D23" s="169">
        <f>+D8+D15+D21</f>
        <v>1123387.6200000001</v>
      </c>
      <c r="E23" s="170"/>
      <c r="F23" s="170"/>
      <c r="G23" s="169">
        <f t="shared" ref="G23:J23" si="2">+G8+G15+G21</f>
        <v>767539.35</v>
      </c>
      <c r="H23" s="169">
        <f t="shared" si="2"/>
        <v>36823.100440476192</v>
      </c>
      <c r="I23" s="169">
        <f t="shared" si="2"/>
        <v>804362.45044047618</v>
      </c>
      <c r="J23" s="169">
        <f t="shared" si="2"/>
        <v>319025.16955952375</v>
      </c>
    </row>
    <row r="24" spans="1:16" ht="16.5" thickTop="1" x14ac:dyDescent="0.25"/>
    <row r="26" spans="1:16" x14ac:dyDescent="0.25">
      <c r="C26" s="120" t="s">
        <v>149</v>
      </c>
      <c r="G26" s="171" t="s">
        <v>150</v>
      </c>
      <c r="H26" s="171" t="s">
        <v>151</v>
      </c>
    </row>
    <row r="27" spans="1:16" x14ac:dyDescent="0.25">
      <c r="C27" s="131"/>
      <c r="D27" s="131">
        <v>1</v>
      </c>
      <c r="E27" s="131">
        <v>15010</v>
      </c>
      <c r="G27" s="172">
        <v>59139.15</v>
      </c>
      <c r="H27" s="172"/>
    </row>
    <row r="28" spans="1:16" x14ac:dyDescent="0.25">
      <c r="C28" s="131"/>
      <c r="D28" s="131">
        <v>1</v>
      </c>
      <c r="E28" s="131">
        <v>15020</v>
      </c>
      <c r="G28" s="172"/>
      <c r="H28" s="172">
        <f>+G27</f>
        <v>59139.15</v>
      </c>
      <c r="L28" s="132"/>
    </row>
    <row r="29" spans="1:16" x14ac:dyDescent="0.25">
      <c r="C29" s="131"/>
      <c r="D29" t="s">
        <v>152</v>
      </c>
      <c r="G29" s="172"/>
      <c r="H29" s="172"/>
      <c r="J29" s="132"/>
    </row>
    <row r="30" spans="1:16" x14ac:dyDescent="0.25">
      <c r="C30" s="131"/>
      <c r="E30" s="131"/>
    </row>
    <row r="31" spans="1:16" x14ac:dyDescent="0.25">
      <c r="C31" s="131"/>
      <c r="D31" s="131">
        <v>2</v>
      </c>
      <c r="E31" s="131">
        <v>15021</v>
      </c>
      <c r="G31" s="136">
        <v>7609.71</v>
      </c>
      <c r="H31" s="136"/>
      <c r="J31" s="132"/>
    </row>
    <row r="32" spans="1:16" x14ac:dyDescent="0.25">
      <c r="C32" s="131"/>
      <c r="D32" s="131">
        <v>2</v>
      </c>
      <c r="E32" s="131">
        <v>15041</v>
      </c>
      <c r="G32" s="136">
        <v>625.33000000000004</v>
      </c>
      <c r="H32" s="136"/>
      <c r="L32" s="132"/>
      <c r="O32" s="158"/>
      <c r="P32" s="132"/>
    </row>
    <row r="33" spans="3:16" x14ac:dyDescent="0.25">
      <c r="C33" s="131"/>
      <c r="D33" s="131">
        <v>2</v>
      </c>
      <c r="E33" s="131">
        <v>50029</v>
      </c>
      <c r="G33" s="136"/>
      <c r="H33" s="136">
        <v>994.95</v>
      </c>
      <c r="L33" s="132"/>
      <c r="O33" s="158"/>
      <c r="P33" s="132"/>
    </row>
    <row r="34" spans="3:16" x14ac:dyDescent="0.25">
      <c r="C34" s="131"/>
      <c r="D34" s="131">
        <v>2</v>
      </c>
      <c r="E34" s="131">
        <v>58000</v>
      </c>
      <c r="G34" s="136"/>
      <c r="H34" s="136">
        <v>7240.09</v>
      </c>
      <c r="K34" s="132"/>
      <c r="P34" s="132"/>
    </row>
    <row r="35" spans="3:16" x14ac:dyDescent="0.25">
      <c r="C35" s="131"/>
      <c r="D35" t="s">
        <v>153</v>
      </c>
      <c r="E35" s="131"/>
      <c r="G35" s="136"/>
      <c r="H35" s="136"/>
    </row>
    <row r="36" spans="3:16" x14ac:dyDescent="0.25">
      <c r="C36" s="131"/>
      <c r="E36" s="131"/>
      <c r="G36" s="136"/>
      <c r="H36" s="136"/>
      <c r="L36" s="158"/>
    </row>
    <row r="37" spans="3:16" x14ac:dyDescent="0.25">
      <c r="C37" s="131"/>
      <c r="E37" s="131"/>
    </row>
    <row r="38" spans="3:16" x14ac:dyDescent="0.25">
      <c r="C38" s="131"/>
      <c r="E38" s="131"/>
    </row>
    <row r="39" spans="3:16" x14ac:dyDescent="0.25">
      <c r="C39" s="131"/>
      <c r="E39" s="131"/>
    </row>
    <row r="40" spans="3:16" x14ac:dyDescent="0.25">
      <c r="C40" s="131"/>
      <c r="E40" s="131"/>
    </row>
    <row r="41" spans="3:16" x14ac:dyDescent="0.25">
      <c r="C41" s="131"/>
      <c r="E41" s="131"/>
    </row>
    <row r="42" spans="3:16" x14ac:dyDescent="0.25">
      <c r="C42" s="131"/>
      <c r="E42" s="131"/>
    </row>
    <row r="43" spans="3:16" x14ac:dyDescent="0.25">
      <c r="C43" s="131"/>
      <c r="E43" s="131"/>
    </row>
    <row r="44" spans="3:16" x14ac:dyDescent="0.25">
      <c r="C44" s="131"/>
      <c r="E44" s="131"/>
    </row>
    <row r="45" spans="3:16" x14ac:dyDescent="0.25">
      <c r="C45" s="131"/>
      <c r="E45" s="131"/>
    </row>
    <row r="46" spans="3:16" x14ac:dyDescent="0.25">
      <c r="C46" s="131"/>
      <c r="E46" s="131"/>
    </row>
    <row r="47" spans="3:16" x14ac:dyDescent="0.25">
      <c r="C47" s="131"/>
      <c r="E47" s="131"/>
    </row>
    <row r="48" spans="3:16" x14ac:dyDescent="0.25">
      <c r="E48" s="131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EE7A-F291-4256-83ED-25664C8596F0}">
  <dimension ref="A1:Q34"/>
  <sheetViews>
    <sheetView zoomScale="80" zoomScaleNormal="80" workbookViewId="0">
      <selection activeCell="C39" sqref="C39"/>
    </sheetView>
  </sheetViews>
  <sheetFormatPr defaultColWidth="11" defaultRowHeight="15.75" x14ac:dyDescent="0.25"/>
  <cols>
    <col min="1" max="1" width="3.875" customWidth="1"/>
    <col min="2" max="2" width="27.5" customWidth="1"/>
    <col min="3" max="3" width="7.375" bestFit="1" customWidth="1"/>
    <col min="4" max="4" width="17.125" customWidth="1"/>
    <col min="5" max="5" width="8.625" customWidth="1"/>
    <col min="6" max="6" width="7.5" bestFit="1" customWidth="1"/>
    <col min="7" max="7" width="14.375" customWidth="1"/>
    <col min="8" max="10" width="14.125" customWidth="1"/>
    <col min="13" max="13" width="13.5" bestFit="1" customWidth="1"/>
    <col min="16" max="16" width="11.875" bestFit="1" customWidth="1"/>
  </cols>
  <sheetData>
    <row r="1" spans="1:16" x14ac:dyDescent="0.25">
      <c r="A1" t="s">
        <v>120</v>
      </c>
    </row>
    <row r="2" spans="1:16" x14ac:dyDescent="0.25">
      <c r="A2" t="s">
        <v>121</v>
      </c>
    </row>
    <row r="3" spans="1:16" x14ac:dyDescent="0.25">
      <c r="A3" s="121"/>
      <c r="B3" s="121"/>
    </row>
    <row r="4" spans="1:16" ht="16.5" thickBot="1" x14ac:dyDescent="0.3">
      <c r="A4" s="120" t="s">
        <v>155</v>
      </c>
    </row>
    <row r="5" spans="1:16" ht="32.25" thickBot="1" x14ac:dyDescent="0.3">
      <c r="A5" s="161" t="s">
        <v>5</v>
      </c>
      <c r="B5" s="161"/>
      <c r="C5" s="162" t="s">
        <v>125</v>
      </c>
      <c r="D5" s="163" t="s">
        <v>126</v>
      </c>
      <c r="E5" s="162" t="s">
        <v>127</v>
      </c>
      <c r="F5" s="163" t="s">
        <v>128</v>
      </c>
      <c r="G5" s="162" t="s">
        <v>129</v>
      </c>
      <c r="H5" s="163" t="s">
        <v>30</v>
      </c>
      <c r="I5" s="162" t="s">
        <v>130</v>
      </c>
      <c r="J5" s="164" t="s">
        <v>131</v>
      </c>
    </row>
    <row r="6" spans="1:16" x14ac:dyDescent="0.25">
      <c r="A6" s="144" t="s">
        <v>12</v>
      </c>
      <c r="B6" s="130"/>
      <c r="C6" s="131"/>
    </row>
    <row r="7" spans="1:16" ht="6.95" customHeight="1" x14ac:dyDescent="0.25">
      <c r="C7" s="131"/>
      <c r="E7" s="174"/>
      <c r="F7" s="174"/>
    </row>
    <row r="8" spans="1:16" x14ac:dyDescent="0.25">
      <c r="A8" t="s">
        <v>134</v>
      </c>
      <c r="C8" s="131">
        <v>1986</v>
      </c>
      <c r="D8" s="165">
        <v>69139.149999999994</v>
      </c>
      <c r="E8" s="175"/>
      <c r="F8" s="176"/>
      <c r="G8" s="165">
        <v>0</v>
      </c>
      <c r="H8" s="165">
        <v>0</v>
      </c>
      <c r="I8" s="165">
        <f>+G8+H8</f>
        <v>0</v>
      </c>
      <c r="J8" s="165">
        <f>+D8-I8</f>
        <v>69139.149999999994</v>
      </c>
      <c r="M8" s="136"/>
      <c r="P8" s="136"/>
    </row>
    <row r="9" spans="1:16" x14ac:dyDescent="0.25">
      <c r="C9" s="131"/>
      <c r="D9" s="136"/>
      <c r="E9" s="177"/>
      <c r="F9" s="174"/>
      <c r="G9" s="136"/>
      <c r="H9" s="136"/>
      <c r="I9" s="136"/>
      <c r="J9" s="136"/>
      <c r="M9" s="136"/>
      <c r="P9" s="136"/>
    </row>
    <row r="10" spans="1:16" x14ac:dyDescent="0.25">
      <c r="A10" s="144" t="s">
        <v>135</v>
      </c>
      <c r="B10" s="130"/>
      <c r="C10" s="131"/>
      <c r="D10" s="136"/>
      <c r="E10" s="131"/>
      <c r="G10" s="136"/>
      <c r="H10" s="136"/>
      <c r="I10" s="136"/>
      <c r="J10" s="136"/>
      <c r="M10" s="136"/>
      <c r="P10" s="136"/>
    </row>
    <row r="11" spans="1:16" ht="6.95" customHeight="1" x14ac:dyDescent="0.25">
      <c r="C11" s="131"/>
      <c r="D11" s="136"/>
      <c r="E11" s="131"/>
      <c r="F11" s="131"/>
      <c r="G11" s="136"/>
      <c r="H11" s="136"/>
      <c r="I11" s="136"/>
      <c r="J11" s="136"/>
      <c r="M11" s="136"/>
      <c r="P11" s="136"/>
    </row>
    <row r="12" spans="1:16" x14ac:dyDescent="0.25">
      <c r="A12" t="s">
        <v>136</v>
      </c>
      <c r="C12" s="131">
        <v>1986</v>
      </c>
      <c r="D12" s="136">
        <f>701391.48-D8</f>
        <v>632252.32999999996</v>
      </c>
      <c r="E12" s="131">
        <v>40</v>
      </c>
      <c r="F12" s="131" t="s">
        <v>137</v>
      </c>
      <c r="G12" s="136">
        <f>470034.67+5109-9741.67</f>
        <v>465402</v>
      </c>
      <c r="H12" s="136">
        <v>3951.58</v>
      </c>
      <c r="I12" s="136">
        <f>+G12+H12</f>
        <v>469353.58</v>
      </c>
      <c r="J12" s="136">
        <f>+D12-I12</f>
        <v>162898.74999999994</v>
      </c>
      <c r="M12" s="136"/>
      <c r="P12" s="136"/>
    </row>
    <row r="13" spans="1:16" x14ac:dyDescent="0.25">
      <c r="C13" s="131"/>
      <c r="D13" s="136"/>
      <c r="E13" s="131"/>
      <c r="F13" s="131"/>
      <c r="G13" s="136"/>
      <c r="H13" s="136"/>
      <c r="I13" s="136"/>
      <c r="J13" s="136"/>
      <c r="M13" s="136"/>
      <c r="P13" s="136"/>
    </row>
    <row r="14" spans="1:16" x14ac:dyDescent="0.25">
      <c r="A14" s="144" t="s">
        <v>140</v>
      </c>
      <c r="C14" s="131"/>
      <c r="D14" s="136"/>
      <c r="E14" s="131"/>
      <c r="F14" s="131"/>
      <c r="G14" s="136"/>
      <c r="H14" s="136"/>
      <c r="I14" s="136"/>
      <c r="J14" s="136"/>
      <c r="M14" s="136"/>
      <c r="P14" s="136"/>
    </row>
    <row r="15" spans="1:16" ht="6.95" customHeight="1" x14ac:dyDescent="0.25">
      <c r="C15" s="131"/>
      <c r="D15" s="136"/>
      <c r="E15" s="131"/>
      <c r="F15" s="131"/>
      <c r="G15" s="136"/>
      <c r="H15" s="136"/>
      <c r="I15" s="136"/>
      <c r="J15" s="136"/>
      <c r="M15" s="136"/>
      <c r="P15" s="136"/>
    </row>
    <row r="16" spans="1:16" x14ac:dyDescent="0.25">
      <c r="A16" t="s">
        <v>141</v>
      </c>
      <c r="C16" s="131" t="s">
        <v>142</v>
      </c>
      <c r="D16" s="173">
        <v>349018</v>
      </c>
      <c r="E16" s="131">
        <v>7</v>
      </c>
      <c r="F16" s="131" t="s">
        <v>137</v>
      </c>
      <c r="G16" s="173">
        <v>294831.09999999998</v>
      </c>
      <c r="H16" s="173">
        <v>3354.67</v>
      </c>
      <c r="I16" s="173">
        <f>+G16+H16</f>
        <v>298185.76999999996</v>
      </c>
      <c r="J16" s="173">
        <f>+D16-I16</f>
        <v>50832.23000000004</v>
      </c>
      <c r="M16" s="136"/>
      <c r="P16" s="136"/>
    </row>
    <row r="17" spans="3:17" ht="6.95" customHeight="1" x14ac:dyDescent="0.25">
      <c r="C17" s="131"/>
      <c r="D17" s="136"/>
      <c r="G17" s="136"/>
      <c r="H17" s="136"/>
      <c r="I17" s="136"/>
      <c r="J17" s="136"/>
      <c r="M17" s="136"/>
      <c r="P17" s="136"/>
    </row>
    <row r="18" spans="3:17" ht="16.5" thickBot="1" x14ac:dyDescent="0.3">
      <c r="C18" s="131"/>
      <c r="D18" s="169">
        <f>SUM(D8:D17)</f>
        <v>1050409.48</v>
      </c>
      <c r="E18" s="170"/>
      <c r="F18" s="170"/>
      <c r="G18" s="169">
        <f t="shared" ref="G18:J18" si="0">SUM(G8:G17)</f>
        <v>760233.1</v>
      </c>
      <c r="H18" s="169">
        <f t="shared" si="0"/>
        <v>7306.25</v>
      </c>
      <c r="I18" s="169">
        <f t="shared" si="0"/>
        <v>767539.35</v>
      </c>
      <c r="J18" s="169">
        <f t="shared" si="0"/>
        <v>282870.13</v>
      </c>
      <c r="M18" s="136"/>
      <c r="P18" s="136"/>
    </row>
    <row r="19" spans="3:17" ht="16.5" thickTop="1" x14ac:dyDescent="0.25">
      <c r="C19" s="131"/>
      <c r="D19" s="136"/>
    </row>
    <row r="20" spans="3:17" x14ac:dyDescent="0.25">
      <c r="C20" s="131"/>
    </row>
    <row r="21" spans="3:17" x14ac:dyDescent="0.25">
      <c r="C21" s="120" t="s">
        <v>149</v>
      </c>
      <c r="G21" s="171" t="s">
        <v>150</v>
      </c>
      <c r="H21" s="171" t="s">
        <v>151</v>
      </c>
    </row>
    <row r="22" spans="3:17" x14ac:dyDescent="0.25">
      <c r="C22" s="120"/>
      <c r="D22" s="131">
        <v>1</v>
      </c>
      <c r="E22">
        <v>15010</v>
      </c>
      <c r="G22" s="172">
        <v>59139.15</v>
      </c>
      <c r="H22" s="172"/>
    </row>
    <row r="23" spans="3:17" x14ac:dyDescent="0.25">
      <c r="C23" s="120"/>
      <c r="D23" s="131">
        <v>1</v>
      </c>
      <c r="E23">
        <v>15020</v>
      </c>
      <c r="G23" s="172"/>
      <c r="H23" s="172">
        <f>+G22</f>
        <v>59139.15</v>
      </c>
    </row>
    <row r="24" spans="3:17" x14ac:dyDescent="0.25">
      <c r="C24" s="120"/>
      <c r="D24" t="s">
        <v>152</v>
      </c>
      <c r="G24" s="172"/>
      <c r="H24" s="172"/>
    </row>
    <row r="25" spans="3:17" x14ac:dyDescent="0.25">
      <c r="C25" s="120"/>
      <c r="G25" s="172"/>
      <c r="H25" s="172"/>
      <c r="M25" s="132"/>
    </row>
    <row r="26" spans="3:17" x14ac:dyDescent="0.25">
      <c r="D26" s="131">
        <v>2</v>
      </c>
      <c r="E26" s="178">
        <v>15021</v>
      </c>
      <c r="G26" s="136">
        <v>681.09</v>
      </c>
      <c r="H26" s="136"/>
    </row>
    <row r="27" spans="3:17" x14ac:dyDescent="0.25">
      <c r="C27" s="131"/>
      <c r="D27" s="131">
        <v>2</v>
      </c>
      <c r="E27" s="131">
        <v>15031</v>
      </c>
      <c r="G27" s="136">
        <v>5109</v>
      </c>
      <c r="H27" s="136"/>
    </row>
    <row r="28" spans="3:17" x14ac:dyDescent="0.25">
      <c r="C28" s="131"/>
      <c r="D28" s="131">
        <v>2</v>
      </c>
      <c r="E28" s="131">
        <v>15041</v>
      </c>
      <c r="G28" s="136"/>
      <c r="H28" s="136">
        <v>3354.67</v>
      </c>
    </row>
    <row r="29" spans="3:17" x14ac:dyDescent="0.25">
      <c r="C29" s="131"/>
      <c r="D29" s="131">
        <v>2</v>
      </c>
      <c r="E29" s="131">
        <v>58000</v>
      </c>
      <c r="G29" s="136"/>
      <c r="H29" s="136">
        <v>2435.42</v>
      </c>
      <c r="O29" s="132"/>
      <c r="P29" s="132"/>
      <c r="Q29" s="132"/>
    </row>
    <row r="30" spans="3:17" x14ac:dyDescent="0.25">
      <c r="C30" s="131"/>
      <c r="D30" t="s">
        <v>156</v>
      </c>
      <c r="G30" s="136"/>
      <c r="H30" s="136"/>
    </row>
    <row r="31" spans="3:17" x14ac:dyDescent="0.25">
      <c r="O31" s="132"/>
    </row>
    <row r="32" spans="3:17" x14ac:dyDescent="0.25">
      <c r="I32" s="132"/>
    </row>
    <row r="34" spans="7:7" x14ac:dyDescent="0.25">
      <c r="G34" s="15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D449E75B2B97488FE5CDF65E01E56E" ma:contentTypeVersion="5" ma:contentTypeDescription="Create a new document." ma:contentTypeScope="" ma:versionID="449cc6b2bbf517781d881290d0c602e6">
  <xsd:schema xmlns:xsd="http://www.w3.org/2001/XMLSchema" xmlns:xs="http://www.w3.org/2001/XMLSchema" xmlns:p="http://schemas.microsoft.com/office/2006/metadata/properties" xmlns:ns3="565d570a-3a8d-48cf-8ab4-3c8aaaee177c" targetNamespace="http://schemas.microsoft.com/office/2006/metadata/properties" ma:root="true" ma:fieldsID="7a628ac5a88b8b34ae0ada5aea3ac977" ns3:_="">
    <xsd:import namespace="565d570a-3a8d-48cf-8ab4-3c8aaaee177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5d570a-3a8d-48cf-8ab4-3c8aaaee177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5d570a-3a8d-48cf-8ab4-3c8aaaee177c" xsi:nil="true"/>
  </documentManagement>
</p:properties>
</file>

<file path=customXml/itemProps1.xml><?xml version="1.0" encoding="utf-8"?>
<ds:datastoreItem xmlns:ds="http://schemas.openxmlformats.org/officeDocument/2006/customXml" ds:itemID="{62BCCD9B-E4F0-4417-A9BC-CCE9BF29B0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5d570a-3a8d-48cf-8ab4-3c8aaaee17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9F61EC-1346-4C90-B26C-B206202492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EDA817-D7D3-437B-99BC-223F8EA4D9EB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65d570a-3a8d-48cf-8ab4-3c8aaaee177c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1. PPE</vt:lpstr>
      <vt:lpstr>2. FY 2024 Addition Listing </vt:lpstr>
      <vt:lpstr>3. FY 2024 PPE</vt:lpstr>
      <vt:lpstr>2023</vt:lpstr>
      <vt:lpstr>2022</vt:lpstr>
      <vt:lpstr>2021</vt:lpstr>
      <vt:lpstr>AF_WP_c03e73d17fed40d2b36611c1cef99d2b_104746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Dillard</dc:creator>
  <cp:lastModifiedBy>Malik Dillard</cp:lastModifiedBy>
  <dcterms:created xsi:type="dcterms:W3CDTF">2025-12-16T17:30:11Z</dcterms:created>
  <dcterms:modified xsi:type="dcterms:W3CDTF">2025-12-16T17:37:16Z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0x010100FDD449E75B2B97488FE5CDF65E01E56E</vt:lpwstr>
  </property>
</Properties>
</file>