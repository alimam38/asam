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ry/Documents/WPG/Client Files - WPG/1. Higher Education - JLH/1. Financial and Compliance Audits - JLH/Turner Theological Seminary/2024 Audit - Turner/Reports &amp; Board Meetings - 2024 TTS/"/>
    </mc:Choice>
  </mc:AlternateContent>
  <xr:revisionPtr revIDLastSave="0" documentId="8_{5604DB10-05F1-FB43-A306-D11108EC8DA0}" xr6:coauthVersionLast="47" xr6:coauthVersionMax="47" xr10:uidLastSave="{00000000-0000-0000-0000-000000000000}"/>
  <bookViews>
    <workbookView xWindow="0" yWindow="760" windowWidth="25440" windowHeight="15280" xr2:uid="{512BB693-1D35-9244-8DF0-D21FE4FB729A}"/>
  </bookViews>
  <sheets>
    <sheet name="Score" sheetId="5" r:id="rId1"/>
  </sheets>
  <definedNames>
    <definedName name="AF_WP_61cfb55e336a4ecda4cb0a080ac6196d_76638">Score!$N$1</definedName>
    <definedName name="AF_WP_7cb0e8b3c4594a55a4df25ad74556941_76639">Score!$G$1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5" l="1"/>
  <c r="H51" i="5"/>
  <c r="F10" i="5" s="1"/>
  <c r="H35" i="5"/>
  <c r="F7" i="5" s="1"/>
  <c r="H39" i="5"/>
  <c r="H38" i="5"/>
  <c r="H62" i="5"/>
  <c r="F13" i="5" s="1"/>
  <c r="H12" i="5" l="1"/>
  <c r="G68" i="5" s="1"/>
  <c r="E77" i="5" s="1"/>
  <c r="H77" i="5" s="1"/>
  <c r="H80" i="5" s="1"/>
  <c r="H43" i="5"/>
  <c r="F9" i="5" s="1"/>
  <c r="H9" i="5" s="1"/>
  <c r="G67" i="5" s="1"/>
  <c r="E76" i="5" s="1"/>
  <c r="H76" i="5" s="1"/>
  <c r="H79" i="5" s="1"/>
  <c r="G77" i="5" l="1"/>
  <c r="F77" i="5"/>
  <c r="G76" i="5"/>
  <c r="F76" i="5"/>
  <c r="H27" i="5" l="1"/>
  <c r="F6" i="5" s="1"/>
  <c r="H6" i="5" s="1"/>
  <c r="G66" i="5" s="1"/>
  <c r="E75" i="5" s="1"/>
  <c r="H75" i="5" l="1"/>
  <c r="H78" i="5" s="1"/>
  <c r="F82" i="5" s="1"/>
  <c r="H82" i="5" s="1"/>
  <c r="G75" i="5"/>
  <c r="F75" i="5"/>
</calcChain>
</file>

<file path=xl/sharedStrings.xml><?xml version="1.0" encoding="utf-8"?>
<sst xmlns="http://schemas.openxmlformats.org/spreadsheetml/2006/main" count="158" uniqueCount="102">
  <si>
    <t>=</t>
  </si>
  <si>
    <t>w/p FS, in Reporting File</t>
  </si>
  <si>
    <t>COMPOSITE SCORE CALCULATION:</t>
  </si>
  <si>
    <t>PRIMARY RESERVE RATIO</t>
  </si>
  <si>
    <t>Expendable net assets</t>
  </si>
  <si>
    <t>Total expenses &amp; losses w/o donor restrictions</t>
  </si>
  <si>
    <t>EQUITY RATIO</t>
  </si>
  <si>
    <t>Modified net assets</t>
  </si>
  <si>
    <t>Modified assets</t>
  </si>
  <si>
    <t>NET INCOME RATIO</t>
  </si>
  <si>
    <t>Change in NA w/o donor restrictions</t>
  </si>
  <si>
    <t>Total revenue and gains w/o donor restrictions</t>
  </si>
  <si>
    <t>REF per Fed Reg F/S Layout</t>
  </si>
  <si>
    <t>**</t>
  </si>
  <si>
    <t>EXPENDABLE NET ASSETS</t>
  </si>
  <si>
    <t>+24</t>
  </si>
  <si>
    <t>(+) NA w/o donor restrictions</t>
  </si>
  <si>
    <t>amt. needed</t>
  </si>
  <si>
    <t>+30</t>
  </si>
  <si>
    <t>(+) NA w/ donor restrictions</t>
  </si>
  <si>
    <t>-29</t>
  </si>
  <si>
    <t>(-) NA w/ donor restrictions:  in perpetuity</t>
  </si>
  <si>
    <t>-(25+26+27)</t>
  </si>
  <si>
    <t>(-) Annuities, term endowments, life income funds w/ donor restrictions</t>
  </si>
  <si>
    <t>-10</t>
  </si>
  <si>
    <t>(-) Intangible Assets (Goodwill, due to/from)</t>
  </si>
  <si>
    <t>-(8+9)</t>
  </si>
  <si>
    <t>(-) PP&amp;E, net, Lease right-of-use asset, net</t>
  </si>
  <si>
    <t>+17</t>
  </si>
  <si>
    <t>(+) Post employment &amp; DB plan liabilities</t>
  </si>
  <si>
    <t>+(M14+M20+M21+M22)</t>
  </si>
  <si>
    <t>(+) Long term debt (incl. current part) (not to exceed net PP&amp;E)</t>
  </si>
  <si>
    <t>-4</t>
  </si>
  <si>
    <t>(-) unsecured related party receivables</t>
  </si>
  <si>
    <t>TOTAL EXPENSES AND LOSSES W/O DONOR RESTRICTIONS</t>
  </si>
  <si>
    <t>+43</t>
  </si>
  <si>
    <t>(+) Total Operating Expenses</t>
  </si>
  <si>
    <t>+46</t>
  </si>
  <si>
    <t>(+) Other components of net periodic pension costs</t>
  </si>
  <si>
    <t>+48</t>
  </si>
  <si>
    <t>(+) Change in value of split-interest agreements</t>
  </si>
  <si>
    <t>from +45 +49</t>
  </si>
  <si>
    <t>(+) Other losses</t>
  </si>
  <si>
    <t>Losses only</t>
  </si>
  <si>
    <t>Total expenses and losses w/o donor restrictions</t>
  </si>
  <si>
    <t>MODIFIED NET ASSETS</t>
  </si>
  <si>
    <t>MODIFIED ASSETS</t>
  </si>
  <si>
    <t>+12</t>
  </si>
  <si>
    <t>(+) Total assets</t>
  </si>
  <si>
    <t>-A @ Note for line 21</t>
  </si>
  <si>
    <t>(-) Pre-Implementation lease right-of-use assets</t>
  </si>
  <si>
    <t>CHANGE IN NET ASSETS WITHOUT DONOR RESTRICTIONS</t>
  </si>
  <si>
    <t>+ or - 51</t>
  </si>
  <si>
    <t>Change in NA w/o Donor Restrictions</t>
  </si>
  <si>
    <t>TOTAL REVENUE AND GAINS WITHOUT DONOR RESTRICTIONS</t>
  </si>
  <si>
    <t>+38</t>
  </si>
  <si>
    <t>(+) Total Operating Revenue and Other Additions</t>
  </si>
  <si>
    <t>-35</t>
  </si>
  <si>
    <t>(-) Investment return appropriated for spending</t>
  </si>
  <si>
    <t>(+) Other gains</t>
  </si>
  <si>
    <t>Gains only</t>
  </si>
  <si>
    <t>+50</t>
  </si>
  <si>
    <t>(+) Sale of fixed assets, gains</t>
  </si>
  <si>
    <t>All pre-implementation right-of-use assets and liabilities are removed from total assets and total liabilities</t>
  </si>
  <si>
    <t>use 10 x this amount</t>
  </si>
  <si>
    <t>use 6 x this amount</t>
  </si>
  <si>
    <t>If neg, use 1+ (25x ratio)</t>
  </si>
  <si>
    <t>if pos, use 1+ (50x ratio)</t>
  </si>
  <si>
    <t>If zero, use 1.00</t>
  </si>
  <si>
    <t>Initial</t>
  </si>
  <si>
    <t>Ratio Adjusted</t>
  </si>
  <si>
    <t>Ratio Adj</t>
  </si>
  <si>
    <t>Calculations</t>
  </si>
  <si>
    <t>Calculation</t>
  </si>
  <si>
    <t>If Negative</t>
  </si>
  <si>
    <t>If Positive</t>
  </si>
  <si>
    <t>After Score</t>
  </si>
  <si>
    <t>of ratio</t>
  </si>
  <si>
    <t>and ratio &lt;= -1</t>
  </si>
  <si>
    <t>and ratio &gt;= 3</t>
  </si>
  <si>
    <t>Adjustments</t>
  </si>
  <si>
    <t>PRIMARY RES STRENGTH FACTOR SCORE</t>
  </si>
  <si>
    <t>EQUITY STRENGTH FACTOR SCORE</t>
  </si>
  <si>
    <t>NET INCOME STRENGTH FACTOR</t>
  </si>
  <si>
    <t>PRIMARY RESERVE WEIGHTED SCORE</t>
  </si>
  <si>
    <t>40% used</t>
  </si>
  <si>
    <t>EQUITY WEIGHTED SCORE</t>
  </si>
  <si>
    <t>NET INCOME WEIGHTED SCORE</t>
  </si>
  <si>
    <t>20% used</t>
  </si>
  <si>
    <t>COMPOSITE SCORE</t>
  </si>
  <si>
    <t>Rounded to:</t>
  </si>
  <si>
    <t>Acceptable range is -1.00 to 3.00</t>
  </si>
  <si>
    <t>Conclusion:</t>
  </si>
  <si>
    <t xml:space="preserve">Institution's composite score is </t>
  </si>
  <si>
    <t>Acceptable</t>
  </si>
  <si>
    <t>Turner Theological Seminary</t>
  </si>
  <si>
    <t>Working Paper #</t>
  </si>
  <si>
    <t>Preparer</t>
  </si>
  <si>
    <t>Date Completed</t>
  </si>
  <si>
    <t>R-14</t>
  </si>
  <si>
    <t>YS</t>
  </si>
  <si>
    <t>R-1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</si>
</sst>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mmmm\ d\,\ yyyy"/>
    <numFmt numFmtId="166" formatCode="_(* #,##0.0000_);_(* \(#,##0.0000\);_(* &quot;-&quot;??_);_(@_)"/>
    <numFmt numFmtId="167" formatCode="_(* #,##0.0_);_(* \(#,##0.0\);_(* &quot;-&quot;??_);_(@_)"/>
  </numFmts>
  <fonts count="1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Verdana"/>
      <family val="2"/>
    </font>
    <font>
      <sz val="10"/>
      <color rgb="FFFF0000"/>
      <name val="Verdana"/>
      <family val="2"/>
    </font>
    <font>
      <sz val="10"/>
      <color rgb="FF0070C0"/>
      <name val="Verdana"/>
      <family val="2"/>
    </font>
    <font>
      <b/>
      <sz val="10"/>
      <name val="Verdana"/>
      <family val="2"/>
    </font>
    <font>
      <b/>
      <sz val="10"/>
      <color rgb="FFFF0000"/>
      <name val="Verdana"/>
      <family val="2"/>
    </font>
    <font>
      <b/>
      <sz val="10"/>
      <color indexed="10"/>
      <name val="Verdana"/>
      <family val="2"/>
    </font>
    <font>
      <b/>
      <u val="singleAccounting"/>
      <sz val="10"/>
      <name val="Verdana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2"/>
      <color theme="1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0"/>
      <color rgb="FF0070C0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72">
    <xf numFmtId="0" fontId="0" fillId="0" borderId="0" xfId="0"/>
    <xf numFmtId="164" fontId="0" fillId="0" borderId="0" xfId="1" applyNumberFormat="1" applyFont="1"/>
    <xf numFmtId="164" fontId="2" fillId="0" borderId="0" xfId="1" applyNumberFormat="1" applyFont="1"/>
    <xf numFmtId="164" fontId="0" fillId="0" borderId="0" xfId="1" applyNumberFormat="1" applyFont="1" applyFill="1"/>
    <xf numFmtId="164" fontId="0" fillId="0" borderId="2" xfId="1" applyNumberFormat="1" applyFont="1" applyBorder="1"/>
    <xf numFmtId="164" fontId="0" fillId="0" borderId="0" xfId="1" applyNumberFormat="1" applyFont="1" applyAlignment="1">
      <alignment horizontal="right"/>
    </xf>
    <xf numFmtId="164" fontId="0" fillId="0" borderId="0" xfId="1" applyNumberFormat="1" applyFont="1" applyAlignment="1">
      <alignment horizontal="center"/>
    </xf>
    <xf numFmtId="164" fontId="7" fillId="0" borderId="0" xfId="1" applyNumberFormat="1" applyFont="1" applyAlignment="1">
      <alignment horizontal="right"/>
    </xf>
    <xf numFmtId="164" fontId="5" fillId="0" borderId="0" xfId="1" applyNumberFormat="1" applyFont="1"/>
    <xf numFmtId="164" fontId="0" fillId="0" borderId="3" xfId="1" applyNumberFormat="1" applyFont="1" applyBorder="1" applyAlignment="1">
      <alignment horizontal="center"/>
    </xf>
    <xf numFmtId="164" fontId="0" fillId="4" borderId="3" xfId="1" applyNumberFormat="1" applyFont="1" applyFill="1" applyBorder="1"/>
    <xf numFmtId="166" fontId="0" fillId="0" borderId="0" xfId="1" applyNumberFormat="1" applyFont="1"/>
    <xf numFmtId="166" fontId="0" fillId="0" borderId="0" xfId="1" applyNumberFormat="1" applyFont="1" applyFill="1"/>
    <xf numFmtId="164" fontId="2" fillId="0" borderId="0" xfId="1" applyNumberFormat="1" applyFont="1" applyAlignment="1">
      <alignment horizontal="center"/>
    </xf>
    <xf numFmtId="164" fontId="0" fillId="5" borderId="0" xfId="1" applyNumberFormat="1" applyFont="1" applyFill="1"/>
    <xf numFmtId="164" fontId="0" fillId="3" borderId="3" xfId="1" applyNumberFormat="1" applyFont="1" applyFill="1" applyBorder="1"/>
    <xf numFmtId="164" fontId="0" fillId="6" borderId="0" xfId="1" applyNumberFormat="1" applyFont="1" applyFill="1"/>
    <xf numFmtId="164" fontId="0" fillId="2" borderId="3" xfId="1" applyNumberFormat="1" applyFont="1" applyFill="1" applyBorder="1"/>
    <xf numFmtId="164" fontId="0" fillId="7" borderId="0" xfId="1" applyNumberFormat="1" applyFont="1" applyFill="1"/>
    <xf numFmtId="164" fontId="3" fillId="8" borderId="0" xfId="1" applyNumberFormat="1" applyFont="1" applyFill="1" applyAlignment="1">
      <alignment horizontal="center" wrapText="1"/>
    </xf>
    <xf numFmtId="164" fontId="6" fillId="0" borderId="0" xfId="1" applyNumberFormat="1" applyFont="1" applyAlignment="1">
      <alignment horizontal="right"/>
    </xf>
    <xf numFmtId="164" fontId="3" fillId="0" borderId="0" xfId="1" quotePrefix="1" applyNumberFormat="1" applyFont="1" applyAlignment="1">
      <alignment horizontal="right"/>
    </xf>
    <xf numFmtId="164" fontId="0" fillId="0" borderId="0" xfId="1" applyNumberFormat="1" applyFont="1" applyAlignment="1">
      <alignment horizontal="left"/>
    </xf>
    <xf numFmtId="164" fontId="0" fillId="0" borderId="2" xfId="1" applyNumberFormat="1" applyFont="1" applyFill="1" applyBorder="1"/>
    <xf numFmtId="164" fontId="2" fillId="0" borderId="0" xfId="1" applyNumberFormat="1" applyFont="1" applyAlignment="1">
      <alignment horizontal="left"/>
    </xf>
    <xf numFmtId="164" fontId="4" fillId="0" borderId="2" xfId="1" applyNumberFormat="1" applyFont="1" applyFill="1" applyBorder="1"/>
    <xf numFmtId="166" fontId="6" fillId="0" borderId="0" xfId="1" applyNumberFormat="1" applyFont="1" applyFill="1"/>
    <xf numFmtId="164" fontId="4" fillId="9" borderId="2" xfId="1" applyNumberFormat="1" applyFont="1" applyFill="1" applyBorder="1"/>
    <xf numFmtId="164" fontId="0" fillId="4" borderId="1" xfId="1" applyNumberFormat="1" applyFont="1" applyFill="1" applyBorder="1"/>
    <xf numFmtId="164" fontId="3" fillId="0" borderId="0" xfId="1" quotePrefix="1" applyNumberFormat="1" applyFont="1"/>
    <xf numFmtId="164" fontId="4" fillId="0" borderId="0" xfId="1" applyNumberFormat="1" applyFont="1" applyAlignment="1">
      <alignment horizontal="left"/>
    </xf>
    <xf numFmtId="164" fontId="3" fillId="0" borderId="0" xfId="1" applyNumberFormat="1" applyFont="1"/>
    <xf numFmtId="166" fontId="2" fillId="0" borderId="0" xfId="1" applyNumberFormat="1" applyFont="1" applyFill="1"/>
    <xf numFmtId="164" fontId="2" fillId="0" borderId="0" xfId="1" quotePrefix="1" applyNumberFormat="1" applyFont="1"/>
    <xf numFmtId="164" fontId="5" fillId="0" borderId="0" xfId="1" applyNumberFormat="1" applyFont="1" applyAlignment="1">
      <alignment horizontal="center"/>
    </xf>
    <xf numFmtId="164" fontId="0" fillId="5" borderId="1" xfId="1" applyNumberFormat="1" applyFont="1" applyFill="1" applyBorder="1"/>
    <xf numFmtId="164" fontId="0" fillId="3" borderId="1" xfId="1" applyNumberFormat="1" applyFont="1" applyFill="1" applyBorder="1"/>
    <xf numFmtId="164" fontId="4" fillId="0" borderId="0" xfId="1" quotePrefix="1" applyNumberFormat="1" applyFont="1" applyAlignment="1">
      <alignment horizontal="left"/>
    </xf>
    <xf numFmtId="164" fontId="6" fillId="0" borderId="0" xfId="1" quotePrefix="1" applyNumberFormat="1" applyFont="1" applyAlignment="1">
      <alignment horizontal="right"/>
    </xf>
    <xf numFmtId="164" fontId="0" fillId="6" borderId="1" xfId="1" applyNumberFormat="1" applyFont="1" applyFill="1" applyBorder="1"/>
    <xf numFmtId="164" fontId="0" fillId="2" borderId="1" xfId="1" applyNumberFormat="1" applyFont="1" applyFill="1" applyBorder="1"/>
    <xf numFmtId="164" fontId="4" fillId="0" borderId="2" xfId="1" applyNumberFormat="1" applyFont="1" applyBorder="1"/>
    <xf numFmtId="164" fontId="0" fillId="0" borderId="1" xfId="1" applyNumberFormat="1" applyFont="1" applyBorder="1"/>
    <xf numFmtId="164" fontId="0" fillId="7" borderId="1" xfId="1" applyNumberFormat="1" applyFont="1" applyFill="1" applyBorder="1"/>
    <xf numFmtId="164" fontId="3" fillId="0" borderId="0" xfId="1" applyNumberFormat="1" applyFont="1" applyFill="1"/>
    <xf numFmtId="164" fontId="6" fillId="0" borderId="0" xfId="1" quotePrefix="1" applyNumberFormat="1" applyFont="1" applyAlignment="1">
      <alignment horizontal="left"/>
    </xf>
    <xf numFmtId="9" fontId="0" fillId="0" borderId="0" xfId="2" applyFont="1"/>
    <xf numFmtId="43" fontId="0" fillId="0" borderId="0" xfId="1" applyFont="1" applyAlignment="1">
      <alignment horizontal="center"/>
    </xf>
    <xf numFmtId="166" fontId="0" fillId="10" borderId="2" xfId="1" applyNumberFormat="1" applyFont="1" applyFill="1" applyBorder="1" applyAlignment="1">
      <alignment horizontal="center"/>
    </xf>
    <xf numFmtId="9" fontId="0" fillId="0" borderId="0" xfId="2" applyFont="1" applyFill="1"/>
    <xf numFmtId="164" fontId="5" fillId="0" borderId="4" xfId="1" applyNumberFormat="1" applyFont="1" applyBorder="1"/>
    <xf numFmtId="164" fontId="0" fillId="0" borderId="6" xfId="1" applyNumberFormat="1" applyFont="1" applyBorder="1"/>
    <xf numFmtId="164" fontId="0" fillId="0" borderId="6" xfId="1" applyNumberFormat="1" applyFont="1" applyBorder="1" applyAlignment="1">
      <alignment horizontal="center"/>
    </xf>
    <xf numFmtId="166" fontId="0" fillId="0" borderId="5" xfId="1" applyNumberFormat="1" applyFont="1" applyBorder="1"/>
    <xf numFmtId="164" fontId="0" fillId="0" borderId="4" xfId="1" applyNumberFormat="1" applyFont="1" applyBorder="1" applyAlignment="1">
      <alignment horizontal="center"/>
    </xf>
    <xf numFmtId="167" fontId="0" fillId="0" borderId="0" xfId="1" applyNumberFormat="1" applyFont="1" applyFill="1" applyBorder="1"/>
    <xf numFmtId="164" fontId="7" fillId="0" borderId="0" xfId="1" applyNumberFormat="1" applyFont="1" applyFill="1" applyAlignment="1">
      <alignment horizontal="right"/>
    </xf>
    <xf numFmtId="166" fontId="0" fillId="9" borderId="0" xfId="1" applyNumberFormat="1" applyFont="1" applyFill="1"/>
    <xf numFmtId="164" fontId="5" fillId="0" borderId="0" xfId="1" applyNumberFormat="1" applyFont="1" applyFill="1" applyAlignment="1">
      <alignment horizontal="left"/>
    </xf>
    <xf numFmtId="165" fontId="5" fillId="0" borderId="0" xfId="1" quotePrefix="1" applyNumberFormat="1" applyFont="1" applyFill="1" applyAlignment="1">
      <alignment horizontal="right"/>
    </xf>
    <xf numFmtId="0" fontId="10" fillId="0" borderId="2" xfId="0" applyFont="1" applyBorder="1" applyAlignment="1">
      <alignment horizontal="left"/>
    </xf>
    <xf numFmtId="0" fontId="9" fillId="0" borderId="0" xfId="0" applyFont="1"/>
    <xf numFmtId="0" fontId="11" fillId="0" borderId="2" xfId="3" applyBorder="1" applyAlignment="1">
      <alignment horizontal="left"/>
    </xf>
    <xf numFmtId="14" fontId="10" fillId="0" borderId="2" xfId="0" applyNumberFormat="1" applyFont="1" applyBorder="1" applyAlignment="1">
      <alignment horizontal="left"/>
    </xf>
    <xf numFmtId="164" fontId="11" fillId="0" borderId="0" xfId="3" applyNumberFormat="1"/>
    <xf numFmtId="164" fontId="12" fillId="11" borderId="7" xfId="1" applyNumberFormat="1" applyFont="1" applyFill="1" applyBorder="1"/>
    <xf numFmtId="164" fontId="12" fillId="11" borderId="1" xfId="1" applyNumberFormat="1" applyFont="1" applyFill="1" applyBorder="1"/>
    <xf numFmtId="164" fontId="13" fillId="11" borderId="1" xfId="1" applyNumberFormat="1" applyFont="1" applyFill="1" applyBorder="1"/>
    <xf numFmtId="164" fontId="12" fillId="11" borderId="1" xfId="1" applyNumberFormat="1" applyFont="1" applyFill="1" applyBorder="1" applyAlignment="1">
      <alignment horizontal="right"/>
    </xf>
    <xf numFmtId="164" fontId="12" fillId="11" borderId="8" xfId="1" applyNumberFormat="1" applyFont="1" applyFill="1" applyBorder="1"/>
    <xf numFmtId="167" fontId="13" fillId="11" borderId="5" xfId="1" applyNumberFormat="1" applyFont="1" applyFill="1" applyBorder="1"/>
    <xf numFmtId="164" fontId="8" fillId="0" borderId="0" xfId="1" applyNumberFormat="1" applyFont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286B"/>
      <color rgb="FF00458A"/>
      <color rgb="FF7F34A2"/>
      <color rgb="FF1F52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1CBC7-8184-8F4B-8D43-D2FA32160ED6}">
  <dimension ref="A1:N86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N75" sqref="N75"/>
    </sheetView>
  </sheetViews>
  <sheetFormatPr baseColWidth="10" defaultColWidth="10.6640625" defaultRowHeight="16" x14ac:dyDescent="0.2"/>
  <cols>
    <col min="1" max="1" width="15" style="1" customWidth="1"/>
    <col min="2" max="2" width="40.83203125" style="8" customWidth="1"/>
    <col min="3" max="3" width="8.5" style="1" customWidth="1"/>
    <col min="4" max="4" width="31.5" style="6" customWidth="1"/>
    <col min="5" max="5" width="13.83203125" style="1" customWidth="1"/>
    <col min="6" max="6" width="15.5" style="1" bestFit="1" customWidth="1"/>
    <col min="7" max="7" width="13" style="1" customWidth="1"/>
    <col min="8" max="8" width="14.1640625" style="1" bestFit="1" customWidth="1"/>
    <col min="9" max="9" width="6.5" style="3" customWidth="1"/>
    <col min="10" max="10" width="11.1640625" style="6" hidden="1" customWidth="1"/>
    <col min="11" max="11" width="11.1640625" style="1" hidden="1" customWidth="1"/>
    <col min="12" max="12" width="12.1640625" style="1" customWidth="1"/>
    <col min="13" max="16384" width="10.6640625" style="1"/>
  </cols>
  <sheetData>
    <row r="1" spans="1:14" x14ac:dyDescent="0.2">
      <c r="A1" s="58" t="s">
        <v>95</v>
      </c>
      <c r="C1" s="8"/>
      <c r="F1" s="61" t="s">
        <v>96</v>
      </c>
      <c r="G1" s="62" t="s">
        <v>99</v>
      </c>
      <c r="M1" s="7" t="s">
        <v>1</v>
      </c>
      <c r="N1" s="64" t="s">
        <v>101</v>
      </c>
    </row>
    <row r="2" spans="1:14" x14ac:dyDescent="0.2">
      <c r="A2" s="59">
        <v>45473</v>
      </c>
      <c r="F2" s="61" t="s">
        <v>97</v>
      </c>
      <c r="G2" s="60" t="s">
        <v>100</v>
      </c>
    </row>
    <row r="3" spans="1:14" x14ac:dyDescent="0.2">
      <c r="A3" s="8"/>
      <c r="F3" s="61" t="s">
        <v>98</v>
      </c>
      <c r="G3" s="63">
        <v>45587</v>
      </c>
    </row>
    <row r="4" spans="1:14" ht="18" x14ac:dyDescent="0.3">
      <c r="A4" s="71" t="s">
        <v>2</v>
      </c>
      <c r="B4" s="71"/>
      <c r="D4" s="1"/>
      <c r="I4" s="1"/>
    </row>
    <row r="6" spans="1:14" ht="17" thickBot="1" x14ac:dyDescent="0.25">
      <c r="A6" s="1">
        <v>1</v>
      </c>
      <c r="B6" s="8" t="s">
        <v>3</v>
      </c>
      <c r="D6" s="9" t="s">
        <v>4</v>
      </c>
      <c r="E6" s="6" t="s">
        <v>0</v>
      </c>
      <c r="F6" s="10">
        <f>H27</f>
        <v>-44438</v>
      </c>
      <c r="G6" s="6" t="s">
        <v>0</v>
      </c>
      <c r="H6" s="11">
        <f>F6/F7</f>
        <v>-3.1430513442383165E-2</v>
      </c>
      <c r="I6" s="12"/>
    </row>
    <row r="7" spans="1:14" x14ac:dyDescent="0.2">
      <c r="D7" s="13" t="s">
        <v>5</v>
      </c>
      <c r="F7" s="14">
        <f>H35</f>
        <v>1413849</v>
      </c>
      <c r="H7" s="11"/>
      <c r="I7" s="12"/>
    </row>
    <row r="8" spans="1:14" x14ac:dyDescent="0.2">
      <c r="H8" s="11"/>
      <c r="I8" s="12"/>
    </row>
    <row r="9" spans="1:14" ht="17" thickBot="1" x14ac:dyDescent="0.25">
      <c r="A9" s="1">
        <v>2</v>
      </c>
      <c r="B9" s="8" t="s">
        <v>6</v>
      </c>
      <c r="D9" s="9" t="s">
        <v>7</v>
      </c>
      <c r="E9" s="6" t="s">
        <v>0</v>
      </c>
      <c r="F9" s="15">
        <f>H43</f>
        <v>967667</v>
      </c>
      <c r="G9" s="6" t="s">
        <v>0</v>
      </c>
      <c r="H9" s="11">
        <f>F9/F10</f>
        <v>0.55983469936424168</v>
      </c>
      <c r="I9" s="12"/>
    </row>
    <row r="10" spans="1:14" x14ac:dyDescent="0.2">
      <c r="D10" s="6" t="s">
        <v>8</v>
      </c>
      <c r="F10" s="16">
        <f>H51</f>
        <v>1728487</v>
      </c>
      <c r="H10" s="11"/>
      <c r="I10" s="12"/>
    </row>
    <row r="11" spans="1:14" x14ac:dyDescent="0.2">
      <c r="H11" s="11"/>
      <c r="I11" s="12"/>
    </row>
    <row r="12" spans="1:14" ht="17" thickBot="1" x14ac:dyDescent="0.25">
      <c r="A12" s="1">
        <v>3</v>
      </c>
      <c r="B12" s="8" t="s">
        <v>9</v>
      </c>
      <c r="D12" s="9" t="s">
        <v>10</v>
      </c>
      <c r="E12" s="6" t="s">
        <v>0</v>
      </c>
      <c r="F12" s="17">
        <f>H54</f>
        <v>61325</v>
      </c>
      <c r="G12" s="6" t="s">
        <v>0</v>
      </c>
      <c r="H12" s="11">
        <f>F12/F13</f>
        <v>4.1571367174312999E-2</v>
      </c>
      <c r="I12" s="12"/>
    </row>
    <row r="13" spans="1:14" x14ac:dyDescent="0.2">
      <c r="D13" s="13" t="s">
        <v>11</v>
      </c>
      <c r="F13" s="18">
        <f>H62</f>
        <v>1475174</v>
      </c>
      <c r="H13" s="11"/>
      <c r="I13" s="12"/>
    </row>
    <row r="14" spans="1:14" x14ac:dyDescent="0.2">
      <c r="H14" s="11"/>
      <c r="I14" s="12"/>
    </row>
    <row r="15" spans="1:14" ht="57" x14ac:dyDescent="0.2">
      <c r="C15" s="19" t="s">
        <v>12</v>
      </c>
      <c r="I15" s="12"/>
    </row>
    <row r="16" spans="1:14" x14ac:dyDescent="0.2">
      <c r="H16" s="3"/>
      <c r="I16" s="12"/>
    </row>
    <row r="17" spans="1:11" x14ac:dyDescent="0.2">
      <c r="A17" s="20" t="s">
        <v>13</v>
      </c>
      <c r="B17" s="8" t="s">
        <v>14</v>
      </c>
      <c r="C17" s="21" t="s">
        <v>15</v>
      </c>
      <c r="D17" s="22" t="s">
        <v>16</v>
      </c>
      <c r="E17" s="2"/>
      <c r="G17" s="6" t="s">
        <v>17</v>
      </c>
      <c r="H17" s="23">
        <v>611830</v>
      </c>
      <c r="I17" s="12"/>
    </row>
    <row r="18" spans="1:11" x14ac:dyDescent="0.2">
      <c r="C18" s="21" t="s">
        <v>18</v>
      </c>
      <c r="D18" s="22" t="s">
        <v>19</v>
      </c>
      <c r="G18" s="6" t="s">
        <v>17</v>
      </c>
      <c r="H18" s="23">
        <v>355837</v>
      </c>
      <c r="I18" s="12"/>
    </row>
    <row r="19" spans="1:11" x14ac:dyDescent="0.2">
      <c r="C19" s="21" t="s">
        <v>20</v>
      </c>
      <c r="D19" s="22" t="s">
        <v>21</v>
      </c>
      <c r="G19" s="6" t="s">
        <v>17</v>
      </c>
      <c r="H19" s="23">
        <v>0</v>
      </c>
      <c r="I19" s="12"/>
    </row>
    <row r="20" spans="1:11" x14ac:dyDescent="0.2">
      <c r="C20" s="21" t="s">
        <v>22</v>
      </c>
      <c r="D20" s="22" t="s">
        <v>23</v>
      </c>
      <c r="G20" s="6" t="s">
        <v>17</v>
      </c>
      <c r="H20" s="23">
        <v>0</v>
      </c>
      <c r="I20" s="12"/>
    </row>
    <row r="21" spans="1:11" x14ac:dyDescent="0.2">
      <c r="C21" s="21" t="s">
        <v>24</v>
      </c>
      <c r="D21" s="24" t="s">
        <v>25</v>
      </c>
      <c r="G21" s="6" t="s">
        <v>17</v>
      </c>
      <c r="H21" s="23">
        <v>0</v>
      </c>
      <c r="I21" s="12"/>
    </row>
    <row r="22" spans="1:11" x14ac:dyDescent="0.2">
      <c r="C22" s="21" t="s">
        <v>26</v>
      </c>
      <c r="D22" s="24" t="s">
        <v>27</v>
      </c>
      <c r="G22" s="6" t="s">
        <v>17</v>
      </c>
      <c r="H22" s="25">
        <v>-1012105</v>
      </c>
      <c r="I22" s="26" t="s">
        <v>13</v>
      </c>
    </row>
    <row r="23" spans="1:11" x14ac:dyDescent="0.2">
      <c r="C23" s="21" t="s">
        <v>28</v>
      </c>
      <c r="D23" s="24" t="s">
        <v>29</v>
      </c>
      <c r="G23" s="6" t="s">
        <v>17</v>
      </c>
      <c r="H23" s="23">
        <v>0</v>
      </c>
      <c r="I23" s="12"/>
    </row>
    <row r="24" spans="1:11" x14ac:dyDescent="0.2">
      <c r="C24" s="21" t="s">
        <v>30</v>
      </c>
      <c r="D24" s="24" t="s">
        <v>31</v>
      </c>
      <c r="G24" s="6" t="s">
        <v>17</v>
      </c>
      <c r="H24" s="27">
        <v>0</v>
      </c>
      <c r="I24" s="26" t="s">
        <v>13</v>
      </c>
      <c r="J24" s="6">
        <v>9446970</v>
      </c>
      <c r="K24" s="1">
        <v>466181</v>
      </c>
    </row>
    <row r="25" spans="1:11" x14ac:dyDescent="0.2">
      <c r="C25" s="21" t="s">
        <v>32</v>
      </c>
      <c r="D25" s="24" t="s">
        <v>33</v>
      </c>
      <c r="G25" s="6" t="s">
        <v>17</v>
      </c>
      <c r="H25" s="23">
        <v>0</v>
      </c>
      <c r="I25" s="12"/>
    </row>
    <row r="26" spans="1:11" x14ac:dyDescent="0.2">
      <c r="C26" s="5"/>
      <c r="I26" s="12"/>
    </row>
    <row r="27" spans="1:11" x14ac:dyDescent="0.2">
      <c r="E27" s="8" t="s">
        <v>4</v>
      </c>
      <c r="H27" s="28">
        <f>SUM(H17:H26)</f>
        <v>-44438</v>
      </c>
    </row>
    <row r="28" spans="1:11" x14ac:dyDescent="0.2">
      <c r="I28" s="12"/>
    </row>
    <row r="29" spans="1:11" x14ac:dyDescent="0.2">
      <c r="B29" s="8" t="s">
        <v>34</v>
      </c>
      <c r="I29" s="12"/>
    </row>
    <row r="30" spans="1:11" x14ac:dyDescent="0.2">
      <c r="C30" s="29" t="s">
        <v>35</v>
      </c>
      <c r="D30" s="24" t="s">
        <v>36</v>
      </c>
      <c r="G30" s="6" t="s">
        <v>17</v>
      </c>
      <c r="H30" s="4">
        <v>1413849</v>
      </c>
      <c r="I30" s="12"/>
    </row>
    <row r="31" spans="1:11" x14ac:dyDescent="0.2">
      <c r="C31" s="29" t="s">
        <v>37</v>
      </c>
      <c r="D31" s="24" t="s">
        <v>38</v>
      </c>
      <c r="G31" s="6" t="s">
        <v>17</v>
      </c>
      <c r="H31" s="4">
        <v>0</v>
      </c>
      <c r="I31" s="12"/>
    </row>
    <row r="32" spans="1:11" x14ac:dyDescent="0.2">
      <c r="C32" s="29" t="s">
        <v>39</v>
      </c>
      <c r="D32" s="24" t="s">
        <v>40</v>
      </c>
      <c r="G32" s="6" t="s">
        <v>17</v>
      </c>
      <c r="H32" s="4">
        <v>0</v>
      </c>
      <c r="I32" s="12"/>
    </row>
    <row r="33" spans="1:9" x14ac:dyDescent="0.2">
      <c r="C33" s="21" t="s">
        <v>41</v>
      </c>
      <c r="D33" s="30" t="s">
        <v>42</v>
      </c>
      <c r="E33" s="31" t="s">
        <v>43</v>
      </c>
      <c r="F33" s="2"/>
      <c r="G33" s="6" t="s">
        <v>17</v>
      </c>
      <c r="H33" s="4">
        <v>0</v>
      </c>
      <c r="I33" s="32"/>
    </row>
    <row r="34" spans="1:9" x14ac:dyDescent="0.2">
      <c r="C34" s="33"/>
      <c r="I34" s="12"/>
    </row>
    <row r="35" spans="1:9" x14ac:dyDescent="0.2">
      <c r="D35" s="22"/>
      <c r="E35" s="34" t="s">
        <v>44</v>
      </c>
      <c r="F35" s="2"/>
      <c r="G35" s="6"/>
      <c r="H35" s="35">
        <f>SUM(H30:H34)</f>
        <v>1413849</v>
      </c>
      <c r="I35" s="12"/>
    </row>
    <row r="36" spans="1:9" x14ac:dyDescent="0.2">
      <c r="I36" s="12"/>
    </row>
    <row r="37" spans="1:9" x14ac:dyDescent="0.2">
      <c r="I37" s="12"/>
    </row>
    <row r="38" spans="1:9" x14ac:dyDescent="0.2">
      <c r="B38" s="8" t="s">
        <v>45</v>
      </c>
      <c r="C38" s="21" t="s">
        <v>15</v>
      </c>
      <c r="D38" s="22" t="s">
        <v>16</v>
      </c>
      <c r="G38" s="6" t="s">
        <v>17</v>
      </c>
      <c r="H38" s="4">
        <f>H17</f>
        <v>611830</v>
      </c>
      <c r="I38" s="12"/>
    </row>
    <row r="39" spans="1:9" x14ac:dyDescent="0.2">
      <c r="C39" s="21" t="s">
        <v>18</v>
      </c>
      <c r="D39" s="22" t="s">
        <v>19</v>
      </c>
      <c r="G39" s="6" t="s">
        <v>17</v>
      </c>
      <c r="H39" s="4">
        <f>H18</f>
        <v>355837</v>
      </c>
      <c r="I39" s="12"/>
    </row>
    <row r="40" spans="1:9" x14ac:dyDescent="0.2">
      <c r="C40" s="21" t="s">
        <v>24</v>
      </c>
      <c r="D40" s="24" t="s">
        <v>25</v>
      </c>
      <c r="G40" s="6" t="s">
        <v>17</v>
      </c>
      <c r="H40" s="4">
        <v>0</v>
      </c>
      <c r="I40" s="12"/>
    </row>
    <row r="41" spans="1:9" x14ac:dyDescent="0.2">
      <c r="C41" s="21" t="s">
        <v>32</v>
      </c>
      <c r="D41" s="24" t="s">
        <v>33</v>
      </c>
      <c r="G41" s="6" t="s">
        <v>17</v>
      </c>
      <c r="H41" s="4">
        <v>0</v>
      </c>
      <c r="I41" s="12"/>
    </row>
    <row r="42" spans="1:9" x14ac:dyDescent="0.2">
      <c r="I42" s="12"/>
    </row>
    <row r="43" spans="1:9" x14ac:dyDescent="0.2">
      <c r="E43" s="8" t="s">
        <v>7</v>
      </c>
      <c r="H43" s="36">
        <f>SUM(H38:H42)</f>
        <v>967667</v>
      </c>
      <c r="I43" s="12"/>
    </row>
    <row r="44" spans="1:9" x14ac:dyDescent="0.2">
      <c r="I44" s="12"/>
    </row>
    <row r="45" spans="1:9" x14ac:dyDescent="0.2">
      <c r="I45" s="12"/>
    </row>
    <row r="46" spans="1:9" x14ac:dyDescent="0.2">
      <c r="A46" s="20" t="s">
        <v>13</v>
      </c>
      <c r="B46" s="8" t="s">
        <v>46</v>
      </c>
      <c r="C46" s="21" t="s">
        <v>47</v>
      </c>
      <c r="D46" s="24" t="s">
        <v>48</v>
      </c>
      <c r="G46" s="6" t="s">
        <v>17</v>
      </c>
      <c r="H46" s="23">
        <v>1728487</v>
      </c>
      <c r="I46" s="12"/>
    </row>
    <row r="47" spans="1:9" x14ac:dyDescent="0.2">
      <c r="C47" s="21" t="s">
        <v>49</v>
      </c>
      <c r="D47" s="37" t="s">
        <v>50</v>
      </c>
      <c r="G47" s="13" t="s">
        <v>17</v>
      </c>
      <c r="H47" s="25">
        <v>0</v>
      </c>
      <c r="I47" s="26" t="s">
        <v>13</v>
      </c>
    </row>
    <row r="48" spans="1:9" x14ac:dyDescent="0.2">
      <c r="B48" s="38"/>
      <c r="C48" s="21" t="s">
        <v>24</v>
      </c>
      <c r="D48" s="24" t="s">
        <v>25</v>
      </c>
      <c r="G48" s="6" t="s">
        <v>17</v>
      </c>
      <c r="H48" s="4">
        <v>0</v>
      </c>
      <c r="I48" s="12"/>
    </row>
    <row r="49" spans="1:12" x14ac:dyDescent="0.2">
      <c r="C49" s="21" t="s">
        <v>32</v>
      </c>
      <c r="D49" s="24" t="s">
        <v>33</v>
      </c>
      <c r="G49" s="6" t="s">
        <v>17</v>
      </c>
      <c r="H49" s="4">
        <v>0</v>
      </c>
      <c r="I49" s="12"/>
    </row>
    <row r="50" spans="1:12" x14ac:dyDescent="0.2">
      <c r="I50" s="12"/>
    </row>
    <row r="51" spans="1:12" x14ac:dyDescent="0.2">
      <c r="E51" s="8" t="s">
        <v>8</v>
      </c>
      <c r="H51" s="39">
        <f>SUM(H46:H50)</f>
        <v>1728487</v>
      </c>
      <c r="I51" s="12"/>
    </row>
    <row r="52" spans="1:12" x14ac:dyDescent="0.2">
      <c r="I52" s="12"/>
    </row>
    <row r="53" spans="1:12" x14ac:dyDescent="0.2">
      <c r="B53" s="8" t="s">
        <v>51</v>
      </c>
      <c r="I53" s="12"/>
    </row>
    <row r="54" spans="1:12" x14ac:dyDescent="0.2">
      <c r="B54" s="1"/>
      <c r="C54" s="21" t="s">
        <v>52</v>
      </c>
      <c r="D54" s="24" t="s">
        <v>53</v>
      </c>
      <c r="E54" s="2"/>
      <c r="G54" s="6" t="s">
        <v>17</v>
      </c>
      <c r="H54" s="40">
        <v>61325</v>
      </c>
      <c r="I54" s="12"/>
    </row>
    <row r="55" spans="1:12" x14ac:dyDescent="0.2">
      <c r="C55" s="2"/>
      <c r="I55" s="12"/>
    </row>
    <row r="56" spans="1:12" x14ac:dyDescent="0.2">
      <c r="B56" s="8" t="s">
        <v>54</v>
      </c>
      <c r="I56" s="12"/>
    </row>
    <row r="57" spans="1:12" x14ac:dyDescent="0.2">
      <c r="C57" s="21" t="s">
        <v>55</v>
      </c>
      <c r="D57" s="24" t="s">
        <v>56</v>
      </c>
      <c r="G57" s="6" t="s">
        <v>17</v>
      </c>
      <c r="H57" s="23">
        <v>1475174</v>
      </c>
      <c r="I57" s="12"/>
    </row>
    <row r="58" spans="1:12" x14ac:dyDescent="0.2">
      <c r="C58" s="21" t="s">
        <v>57</v>
      </c>
      <c r="D58" s="24" t="s">
        <v>58</v>
      </c>
      <c r="G58" s="6" t="s">
        <v>17</v>
      </c>
      <c r="H58" s="4">
        <v>0</v>
      </c>
      <c r="L58" s="57"/>
    </row>
    <row r="59" spans="1:12" x14ac:dyDescent="0.2">
      <c r="C59" s="21" t="s">
        <v>41</v>
      </c>
      <c r="D59" s="37" t="s">
        <v>59</v>
      </c>
      <c r="E59" s="31" t="s">
        <v>60</v>
      </c>
      <c r="G59" s="6" t="s">
        <v>17</v>
      </c>
      <c r="H59" s="41">
        <v>0</v>
      </c>
      <c r="I59" s="12"/>
    </row>
    <row r="60" spans="1:12" x14ac:dyDescent="0.2">
      <c r="C60" s="21" t="s">
        <v>61</v>
      </c>
      <c r="D60" s="24" t="s">
        <v>62</v>
      </c>
      <c r="G60" s="6" t="s">
        <v>17</v>
      </c>
      <c r="H60" s="4">
        <v>0</v>
      </c>
      <c r="I60" s="12"/>
      <c r="L60" s="57"/>
    </row>
    <row r="61" spans="1:12" x14ac:dyDescent="0.2">
      <c r="C61" s="21"/>
      <c r="D61" s="24"/>
      <c r="G61" s="6"/>
      <c r="H61" s="42"/>
      <c r="I61" s="12"/>
    </row>
    <row r="62" spans="1:12" x14ac:dyDescent="0.2">
      <c r="B62" s="1"/>
      <c r="E62" s="34" t="s">
        <v>11</v>
      </c>
      <c r="F62" s="2"/>
      <c r="G62" s="6"/>
      <c r="H62" s="43">
        <f>SUM(H57:H61)</f>
        <v>1475174</v>
      </c>
      <c r="I62" s="12"/>
    </row>
    <row r="63" spans="1:12" x14ac:dyDescent="0.2">
      <c r="I63" s="44"/>
    </row>
    <row r="64" spans="1:12" x14ac:dyDescent="0.2">
      <c r="A64" s="20" t="s">
        <v>13</v>
      </c>
      <c r="B64" s="45" t="s">
        <v>63</v>
      </c>
    </row>
    <row r="66" spans="2:10" x14ac:dyDescent="0.2">
      <c r="B66" s="8" t="s">
        <v>3</v>
      </c>
      <c r="G66" s="11">
        <f>H6</f>
        <v>-3.1430513442383165E-2</v>
      </c>
      <c r="H66" s="46" t="s">
        <v>64</v>
      </c>
      <c r="I66" s="12"/>
    </row>
    <row r="67" spans="2:10" x14ac:dyDescent="0.2">
      <c r="B67" s="8" t="s">
        <v>6</v>
      </c>
      <c r="G67" s="11">
        <f>H9</f>
        <v>0.55983469936424168</v>
      </c>
      <c r="H67" s="46" t="s">
        <v>65</v>
      </c>
      <c r="I67" s="12"/>
    </row>
    <row r="68" spans="2:10" x14ac:dyDescent="0.2">
      <c r="B68" s="8" t="s">
        <v>9</v>
      </c>
      <c r="G68" s="11">
        <f>H12</f>
        <v>4.1571367174312999E-2</v>
      </c>
      <c r="H68" s="46" t="s">
        <v>66</v>
      </c>
      <c r="I68" s="12"/>
      <c r="J68" s="47"/>
    </row>
    <row r="69" spans="2:10" x14ac:dyDescent="0.2">
      <c r="G69" s="11"/>
      <c r="H69" s="46" t="s">
        <v>67</v>
      </c>
      <c r="I69" s="12"/>
      <c r="J69" s="47"/>
    </row>
    <row r="70" spans="2:10" x14ac:dyDescent="0.2">
      <c r="G70" s="11"/>
      <c r="H70" s="46" t="s">
        <v>68</v>
      </c>
      <c r="I70" s="12"/>
    </row>
    <row r="71" spans="2:10" x14ac:dyDescent="0.2">
      <c r="E71" s="11"/>
    </row>
    <row r="72" spans="2:10" x14ac:dyDescent="0.2">
      <c r="E72" s="6" t="s">
        <v>69</v>
      </c>
      <c r="F72" s="6" t="s">
        <v>70</v>
      </c>
      <c r="G72" s="6" t="s">
        <v>71</v>
      </c>
      <c r="H72" s="6" t="s">
        <v>72</v>
      </c>
    </row>
    <row r="73" spans="2:10" x14ac:dyDescent="0.2">
      <c r="E73" s="6" t="s">
        <v>73</v>
      </c>
      <c r="F73" s="6" t="s">
        <v>74</v>
      </c>
      <c r="G73" s="6" t="s">
        <v>75</v>
      </c>
      <c r="H73" s="6" t="s">
        <v>76</v>
      </c>
    </row>
    <row r="74" spans="2:10" x14ac:dyDescent="0.2">
      <c r="E74" s="6" t="s">
        <v>77</v>
      </c>
      <c r="F74" s="6" t="s">
        <v>78</v>
      </c>
      <c r="G74" s="6" t="s">
        <v>79</v>
      </c>
      <c r="H74" s="6" t="s">
        <v>80</v>
      </c>
    </row>
    <row r="75" spans="2:10" x14ac:dyDescent="0.2">
      <c r="B75" s="8" t="s">
        <v>81</v>
      </c>
      <c r="E75" s="11">
        <f>G66*10</f>
        <v>-0.31430513442383168</v>
      </c>
      <c r="F75" s="11">
        <f>IF(E75&lt;-1,-1,E75)</f>
        <v>-0.31430513442383168</v>
      </c>
      <c r="G75" s="11">
        <f>IF(E75&gt;3,3,E75)</f>
        <v>-0.31430513442383168</v>
      </c>
      <c r="H75" s="48">
        <f>IF(E75&gt;3,3,(IF(E75&lt;-1,-1,E75)))</f>
        <v>-0.31430513442383168</v>
      </c>
    </row>
    <row r="76" spans="2:10" x14ac:dyDescent="0.2">
      <c r="B76" s="8" t="s">
        <v>82</v>
      </c>
      <c r="E76" s="11">
        <f>G67*6</f>
        <v>3.3590081961854503</v>
      </c>
      <c r="F76" s="11">
        <f>IF(E76&lt;-1,-1,E76)</f>
        <v>3.3590081961854503</v>
      </c>
      <c r="G76" s="11">
        <f>IF(E76&gt;3,3,E76)</f>
        <v>3</v>
      </c>
      <c r="H76" s="48">
        <f>IF(E76&gt;3,3,(IF(E76&lt;-1,-1,E76)))</f>
        <v>3</v>
      </c>
    </row>
    <row r="77" spans="2:10" x14ac:dyDescent="0.2">
      <c r="B77" s="8" t="s">
        <v>83</v>
      </c>
      <c r="E77" s="11">
        <f>IF(G68=0,1,IF(G68&gt;0,1+(50*G68),1+(25*G68)))</f>
        <v>3.0785683587156498</v>
      </c>
      <c r="F77" s="11">
        <f>IF(E77&lt;-1,-1,E77)</f>
        <v>3.0785683587156498</v>
      </c>
      <c r="G77" s="11">
        <f>IF(E77&gt;3,3,E77)</f>
        <v>3</v>
      </c>
      <c r="H77" s="48">
        <f>IF(E77&gt;3,3,(IF(E77&lt;-1,-1,E77)))</f>
        <v>3</v>
      </c>
    </row>
    <row r="78" spans="2:10" x14ac:dyDescent="0.2">
      <c r="B78" s="8" t="s">
        <v>84</v>
      </c>
      <c r="E78" s="11"/>
      <c r="F78" s="6"/>
      <c r="H78" s="11">
        <f>H75*0.4</f>
        <v>-0.12572205376953269</v>
      </c>
      <c r="I78" s="49" t="s">
        <v>85</v>
      </c>
    </row>
    <row r="79" spans="2:10" x14ac:dyDescent="0.2">
      <c r="B79" s="8" t="s">
        <v>86</v>
      </c>
      <c r="F79" s="6"/>
      <c r="H79" s="11">
        <f>H76*0.4</f>
        <v>1.2000000000000002</v>
      </c>
      <c r="I79" s="49" t="s">
        <v>85</v>
      </c>
    </row>
    <row r="80" spans="2:10" x14ac:dyDescent="0.2">
      <c r="B80" s="8" t="s">
        <v>87</v>
      </c>
      <c r="F80" s="6"/>
      <c r="H80" s="11">
        <f>H77*0.2</f>
        <v>0.60000000000000009</v>
      </c>
      <c r="I80" s="49" t="s">
        <v>88</v>
      </c>
    </row>
    <row r="81" spans="2:9" ht="17" thickBot="1" x14ac:dyDescent="0.25"/>
    <row r="82" spans="2:9" ht="17" thickBot="1" x14ac:dyDescent="0.25">
      <c r="B82" s="50" t="s">
        <v>89</v>
      </c>
      <c r="C82" s="51"/>
      <c r="D82" s="52"/>
      <c r="E82" s="52"/>
      <c r="F82" s="53">
        <f>SUM(H78:H80)</f>
        <v>1.6742779462304676</v>
      </c>
      <c r="G82" s="54" t="s">
        <v>90</v>
      </c>
      <c r="H82" s="70">
        <f>F82</f>
        <v>1.6742779462304676</v>
      </c>
      <c r="I82" s="55"/>
    </row>
    <row r="83" spans="2:9" x14ac:dyDescent="0.2">
      <c r="H83" s="7"/>
      <c r="I83" s="56"/>
    </row>
    <row r="84" spans="2:9" x14ac:dyDescent="0.2">
      <c r="E84" s="1" t="s">
        <v>91</v>
      </c>
    </row>
    <row r="86" spans="2:9" x14ac:dyDescent="0.2">
      <c r="B86" s="65" t="s">
        <v>92</v>
      </c>
      <c r="C86" s="66"/>
      <c r="D86" s="67" t="s">
        <v>93</v>
      </c>
      <c r="E86" s="66"/>
      <c r="F86" s="68"/>
      <c r="G86" s="69" t="s">
        <v>94</v>
      </c>
    </row>
  </sheetData>
  <mergeCells count="1">
    <mergeCell ref="A4:B4"/>
  </mergeCells>
  <hyperlinks>
    <hyperlink ref="G1" location="AF_WP_7cb0e8b3c4594a55a4df25ad74556941_76639" display="AF_WP_7cb0e8b3c4594a55a4df25ad74556941_76639" xr:uid="{24FF956D-9802-47DE-A3CC-E2610752A600}"/>
    <hyperlink ref="N1" location="AF_WP_61cfb55e336a4ecda4cb0a080ac6196d_76638" display="AF_WP_61cfb55e336a4ecda4cb0a080ac6196d_76638" xr:uid="{09B3868C-ACBF-4A88-9E57-14D58525F8D9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Score</vt:lpstr>
      <vt:lpstr>AF_WP_61cfb55e336a4ecda4cb0a080ac6196d_76638</vt:lpstr>
      <vt:lpstr>AF_WP_7cb0e8b3c4594a55a4df25ad74556941_76639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2024-10-08T22:38:03Z</cp:lastPrinted>
  <dcterms:created xsi:type="dcterms:W3CDTF">2024-03-15T19:50:56Z</dcterms:created>
  <dcterms:modified xsi:type="dcterms:W3CDTF">2026-03-17T17:02:19Z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leteTemporaryFile">
    <vt:lpwstr>0000001WJ220241024071940.xlsx</vt:lpwstr>
  </property>
  <property fmtid="{D5CDD505-2E9C-101B-9397-08002B2CF9AE}" pid="3" name="GFRDocument">
    <vt:lpwstr>1</vt:lpwstr>
  </property>
  <property fmtid="{D5CDD505-2E9C-101B-9397-08002B2CF9AE}" pid="4" name="WebDocument">
    <vt:lpwstr>True</vt:lpwstr>
  </property>
</Properties>
</file>