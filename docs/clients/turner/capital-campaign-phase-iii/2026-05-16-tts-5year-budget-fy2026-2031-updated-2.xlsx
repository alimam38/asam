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ima\Dropbox\Turner\President Reports\"/>
    </mc:Choice>
  </mc:AlternateContent>
  <xr:revisionPtr revIDLastSave="0" documentId="8_{C1BE018B-27E5-411B-81FC-87723FBE1D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" sheetId="1" r:id="rId1"/>
    <sheet name="Assumptions" sheetId="2" r:id="rId2"/>
    <sheet name="Revenue Detail" sheetId="3" r:id="rId3"/>
    <sheet name="Housing Scenarios" sheetId="4" r:id="rId4"/>
    <sheet name="Annual Report" sheetId="5" r:id="rId5"/>
    <sheet name="Expense Detail" sheetId="6" r:id="rId6"/>
    <sheet name="Personnel Model" sheetId="7" r:id="rId7"/>
  </sheets>
  <definedNames>
    <definedName name="_xlnm._FilterDatabase" localSheetId="6" hidden="1">'Personnel Model'!$A$3:$H$49</definedName>
    <definedName name="_xlnm.Print_Area" localSheetId="4">'Annual Report'!$A$1:$D$33</definedName>
    <definedName name="_xlnm.Print_Area" localSheetId="0">Summary!$B$1:$I$39</definedName>
    <definedName name="_xlnm.Print_Titles" localSheetId="0">Summary!$1:$3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  <c r="E20" i="1"/>
  <c r="C5" i="6"/>
  <c r="F11" i="1" l="1"/>
  <c r="G11" i="1"/>
  <c r="H11" i="1"/>
  <c r="I11" i="1"/>
  <c r="E11" i="1"/>
  <c r="F14" i="1"/>
  <c r="G14" i="1" s="1"/>
  <c r="H14" i="1" s="1"/>
  <c r="I14" i="1" s="1"/>
  <c r="F12" i="1"/>
  <c r="G12" i="1" s="1"/>
  <c r="H12" i="1" s="1"/>
  <c r="I12" i="1" s="1"/>
  <c r="F13" i="1"/>
  <c r="G13" i="1" s="1"/>
  <c r="H13" i="1" s="1"/>
  <c r="I13" i="1" s="1"/>
  <c r="F10" i="1"/>
  <c r="G10" i="1"/>
  <c r="H10" i="1"/>
  <c r="I10" i="1"/>
  <c r="E10" i="1"/>
  <c r="D35" i="3"/>
  <c r="E35" i="3"/>
  <c r="F35" i="3"/>
  <c r="G35" i="3"/>
  <c r="B35" i="3"/>
  <c r="C20" i="5"/>
  <c r="C19" i="5"/>
  <c r="C39" i="6"/>
  <c r="D39" i="6"/>
  <c r="E39" i="6"/>
  <c r="F39" i="6"/>
  <c r="G39" i="6"/>
  <c r="C28" i="6"/>
  <c r="D28" i="6"/>
  <c r="E28" i="6"/>
  <c r="F28" i="6"/>
  <c r="G28" i="6"/>
  <c r="B28" i="6"/>
  <c r="B13" i="6"/>
  <c r="C6" i="6"/>
  <c r="C13" i="6" s="1"/>
  <c r="C18" i="5" s="1"/>
  <c r="D6" i="6" l="1"/>
  <c r="B41" i="6"/>
  <c r="B43" i="6" s="1"/>
  <c r="D20" i="6"/>
  <c r="E20" i="6"/>
  <c r="F20" i="6"/>
  <c r="G20" i="6"/>
  <c r="C20" i="6"/>
  <c r="D21" i="6"/>
  <c r="E21" i="6"/>
  <c r="F21" i="6"/>
  <c r="G21" i="6"/>
  <c r="C21" i="6"/>
  <c r="F9" i="1"/>
  <c r="G9" i="1"/>
  <c r="H9" i="1"/>
  <c r="I9" i="1"/>
  <c r="D41" i="2"/>
  <c r="D20" i="3"/>
  <c r="E20" i="3"/>
  <c r="F20" i="3"/>
  <c r="G20" i="3"/>
  <c r="C20" i="3"/>
  <c r="D17" i="3"/>
  <c r="E17" i="3"/>
  <c r="F17" i="3"/>
  <c r="G17" i="3"/>
  <c r="D16" i="3"/>
  <c r="E16" i="3"/>
  <c r="F16" i="3"/>
  <c r="G16" i="3"/>
  <c r="E34" i="2"/>
  <c r="F34" i="2"/>
  <c r="G34" i="2"/>
  <c r="D34" i="2"/>
  <c r="E35" i="2"/>
  <c r="F35" i="2"/>
  <c r="G35" i="2"/>
  <c r="D35" i="2"/>
  <c r="D32" i="2"/>
  <c r="E32" i="2" s="1"/>
  <c r="F32" i="2" s="1"/>
  <c r="G32" i="2" s="1"/>
  <c r="E41" i="2"/>
  <c r="F41" i="2"/>
  <c r="G41" i="2"/>
  <c r="B41" i="2"/>
  <c r="E33" i="3"/>
  <c r="F33" i="3"/>
  <c r="G33" i="3" s="1"/>
  <c r="D33" i="3"/>
  <c r="E30" i="3"/>
  <c r="F30" i="3"/>
  <c r="G30" i="3" s="1"/>
  <c r="D30" i="3"/>
  <c r="E31" i="3"/>
  <c r="F31" i="3" s="1"/>
  <c r="G31" i="3" s="1"/>
  <c r="D31" i="3"/>
  <c r="E32" i="3"/>
  <c r="F32" i="3"/>
  <c r="G32" i="3" s="1"/>
  <c r="D32" i="3"/>
  <c r="C40" i="2"/>
  <c r="C41" i="2" s="1"/>
  <c r="F22" i="1"/>
  <c r="G22" i="1"/>
  <c r="H22" i="1"/>
  <c r="I22" i="1"/>
  <c r="F21" i="1"/>
  <c r="G21" i="1"/>
  <c r="H21" i="1"/>
  <c r="I21" i="1"/>
  <c r="F28" i="1"/>
  <c r="G28" i="1"/>
  <c r="H28" i="1"/>
  <c r="I28" i="1"/>
  <c r="D28" i="1"/>
  <c r="E22" i="1"/>
  <c r="C30" i="5"/>
  <c r="C14" i="5"/>
  <c r="C13" i="5"/>
  <c r="C12" i="5"/>
  <c r="C10" i="5"/>
  <c r="C9" i="5"/>
  <c r="B39" i="6"/>
  <c r="G15" i="3"/>
  <c r="G21" i="3" s="1"/>
  <c r="D15" i="3"/>
  <c r="D21" i="3" s="1"/>
  <c r="E15" i="3"/>
  <c r="F15" i="3"/>
  <c r="F21" i="3" s="1"/>
  <c r="C15" i="3"/>
  <c r="C17" i="3" s="1"/>
  <c r="B15" i="3"/>
  <c r="B17" i="3" s="1"/>
  <c r="B21" i="3" s="1"/>
  <c r="E31" i="6"/>
  <c r="F31" i="6"/>
  <c r="G31" i="6"/>
  <c r="D31" i="6"/>
  <c r="F51" i="7"/>
  <c r="D13" i="6" l="1"/>
  <c r="E6" i="6"/>
  <c r="C41" i="6"/>
  <c r="E21" i="1"/>
  <c r="E21" i="3"/>
  <c r="C21" i="3"/>
  <c r="C35" i="3" s="1"/>
  <c r="E17" i="1"/>
  <c r="E24" i="1"/>
  <c r="F6" i="6" l="1"/>
  <c r="E13" i="6"/>
  <c r="D41" i="6"/>
  <c r="D43" i="6" s="1"/>
  <c r="F20" i="1"/>
  <c r="C43" i="6"/>
  <c r="C21" i="5"/>
  <c r="E26" i="1"/>
  <c r="E28" i="1" s="1"/>
  <c r="C15" i="5"/>
  <c r="D11" i="5" l="1"/>
  <c r="G6" i="6"/>
  <c r="G13" i="6" s="1"/>
  <c r="F13" i="6"/>
  <c r="E41" i="6"/>
  <c r="E43" i="6" s="1"/>
  <c r="G20" i="1"/>
  <c r="D19" i="5"/>
  <c r="D20" i="5"/>
  <c r="D18" i="5"/>
  <c r="C23" i="5"/>
  <c r="D23" i="5" s="1"/>
  <c r="D9" i="5"/>
  <c r="D10" i="5"/>
  <c r="D12" i="5"/>
  <c r="D13" i="5"/>
  <c r="D14" i="5"/>
  <c r="D8" i="5"/>
  <c r="F41" i="6" l="1"/>
  <c r="F43" i="6" s="1"/>
  <c r="H20" i="1"/>
  <c r="G41" i="6"/>
  <c r="G43" i="6" s="1"/>
  <c r="I20" i="1"/>
  <c r="F23" i="5"/>
  <c r="D21" i="5"/>
</calcChain>
</file>

<file path=xl/sharedStrings.xml><?xml version="1.0" encoding="utf-8"?>
<sst xmlns="http://schemas.openxmlformats.org/spreadsheetml/2006/main" count="574" uniqueCount="360">
  <si>
    <t>TURNER THEOLOGICAL SEMINARY</t>
  </si>
  <si>
    <t>OPERATING BUDGET — FOR THE FISCAL YEARS JULY 1, 2025 THROUGH JUNE 30, 2031</t>
  </si>
  <si>
    <t>FY 2025-26
(BUDGET)</t>
  </si>
  <si>
    <t>FY 2026-27
(BUDGET)</t>
  </si>
  <si>
    <t>FY 2027-28
(BUDGET)</t>
  </si>
  <si>
    <t>FY 2028-29
(BUDGET)</t>
  </si>
  <si>
    <t>FY 2029-30
(BUDGET)</t>
  </si>
  <si>
    <t>FY 2030-31
(BUDGET)</t>
  </si>
  <si>
    <t>July 1, 2025 – June 30, 2026</t>
  </si>
  <si>
    <t>July 1, 2026 – June 30, 2027</t>
  </si>
  <si>
    <t>July 1, 2027 – June 30, 2028</t>
  </si>
  <si>
    <t>July 1, 2028 – June 30, 2029</t>
  </si>
  <si>
    <t>July 1, 2029 – June 30, 2030</t>
  </si>
  <si>
    <t>July 1, 2030 – June 30, 2031</t>
  </si>
  <si>
    <t>REVENUE AND SUPPORT</t>
  </si>
  <si>
    <t xml:space="preserve">  Tuition and fees, net</t>
  </si>
  <si>
    <t xml:space="preserve">  Private gifts and grants</t>
  </si>
  <si>
    <t xml:space="preserve">  Sales and services of auxiliary enterprises</t>
  </si>
  <si>
    <t xml:space="preserve">  Scholarship revenue</t>
  </si>
  <si>
    <t xml:space="preserve">  Other income</t>
  </si>
  <si>
    <t xml:space="preserve">  Unrealized gain (loss) on investments</t>
  </si>
  <si>
    <t>TOTAL REVENUES</t>
  </si>
  <si>
    <t>EXPENSES</t>
  </si>
  <si>
    <t xml:space="preserve">  Program Services</t>
  </si>
  <si>
    <t xml:space="preserve">  Management and General</t>
  </si>
  <si>
    <t xml:space="preserve">  Operation of Plant and Maintenance</t>
  </si>
  <si>
    <t>TOTAL EXPENSES</t>
  </si>
  <si>
    <t>NET OPERATING SURPLUS (DEFICIT)</t>
  </si>
  <si>
    <t xml:space="preserve">  Net Surplus as % of Total Revenue</t>
  </si>
  <si>
    <t xml:space="preserve">  DOE Financial Responsibility Composite Score Trajectory (Target: ≥ 1.5)</t>
  </si>
  <si>
    <t xml:space="preserve">  Projected Composite Score (Indicative)</t>
  </si>
  <si>
    <t xml:space="preserve">  * FY2026 = current year estimated; FY2027 = housing transition year; FY2028+ = Title IV approved</t>
  </si>
  <si>
    <t xml:space="preserve">  KEY ASSUMPTIONS SUMMARY</t>
  </si>
  <si>
    <t xml:space="preserve">  MDiv Enrollment (Students)</t>
  </si>
  <si>
    <t xml:space="preserve">  Housing Occupancy Rate (Self-Managed)</t>
  </si>
  <si>
    <t>FY2025-26 Budget</t>
  </si>
  <si>
    <t>75%</t>
  </si>
  <si>
    <t>80%</t>
  </si>
  <si>
    <t>85%</t>
  </si>
  <si>
    <t>90%</t>
  </si>
  <si>
    <t>95%</t>
  </si>
  <si>
    <t>Turner Theological Seminary, Inc.  ·  702 Martin Luther King Jr. Drive SW, Atlanta, GA 30314  ·  Prepared by: Office of Business &amp; Finance  ·  April 2026</t>
  </si>
  <si>
    <t>Auxiliary revenue reflects self-managed model (FY2027 forward) at 75% occupancy ramp. FY2026 reflects approved budget under Spelman MOU. Title IV approval assumed FY2027-28.</t>
  </si>
  <si>
    <t>BUDGET ASSUMPTIONS — ALL INPUTS ARE ENTERED HERE (BLUE CELLS ONLY)</t>
  </si>
  <si>
    <t>🔵 Blue cells = Inputs you can change  ·  All other tabs pull from this sheet  ·  Last Updated: April 2026</t>
  </si>
  <si>
    <t>ENROLLMENT &amp; TUITION</t>
  </si>
  <si>
    <t>Assumption</t>
  </si>
  <si>
    <t>FY 2025-26</t>
  </si>
  <si>
    <t>FY 2026-27</t>
  </si>
  <si>
    <t>FY 2027-28</t>
  </si>
  <si>
    <t>FY 2028-29</t>
  </si>
  <si>
    <t>FY 2029-30</t>
  </si>
  <si>
    <t>FY 2030-31</t>
  </si>
  <si>
    <t>Notes</t>
  </si>
  <si>
    <t>MDiv Full-Time Enrollment (Students)</t>
  </si>
  <si>
    <t>FY2028+ assumes Title IV federal aid approved — enrollment accelerates</t>
  </si>
  <si>
    <t>MDiv Rate (per credit hour)</t>
  </si>
  <si>
    <t>72 credit program over 3 years = $15,600/student/yr</t>
  </si>
  <si>
    <t>Institutional Aid Rate (% of gross tuition)</t>
  </si>
  <si>
    <t>Declines as Title IV federal aid replaces institutional scholarships</t>
  </si>
  <si>
    <t>Continuing Ed Enrollment (Students)</t>
  </si>
  <si>
    <t>Certificate programs</t>
  </si>
  <si>
    <t>Continuing Ed Revenue (Total)</t>
  </si>
  <si>
    <t>Rate × enrollment</t>
  </si>
  <si>
    <t>Jarena Lee Women's Leadership Program</t>
  </si>
  <si>
    <t>20 students × $5,000/student</t>
  </si>
  <si>
    <t>HOUSING REVENUE</t>
  </si>
  <si>
    <t>Occupancy Rate (Self-Managed Residential)</t>
  </si>
  <si>
    <t>FY2026 = old Spelman budget rate; FY2027+ = self-managed ramp</t>
  </si>
  <si>
    <t>Max Annual Residential Revenue (100% Occupancy)</t>
  </si>
  <si>
    <t>Private Eff $128K + Shd Eff $280K + Pvt Dorm $120K + Shd Dorm $400K</t>
  </si>
  <si>
    <t>Residential Housing Revenue (at Occupancy Rate)</t>
  </si>
  <si>
    <t>Note: FY2026 uses Spelman MOU amount ($1,280,440 contract / ~$1,240K net)</t>
  </si>
  <si>
    <t>Summer Corporate Housing Revenue</t>
  </si>
  <si>
    <t>FY2026 misc; FY2027 = A.T.I. confirmed $122,376; FY2028+ = corporate housing program</t>
  </si>
  <si>
    <t>Facility Rentals, Vending &amp; Other</t>
  </si>
  <si>
    <t>Misc auxiliary</t>
  </si>
  <si>
    <t>AME CHURCH &amp; DONOR SUPPORT</t>
  </si>
  <si>
    <t>Connectional AME Church Support</t>
  </si>
  <si>
    <t>FY2025 actual $180,102</t>
  </si>
  <si>
    <t>6th Episcopal District</t>
  </si>
  <si>
    <t>Annual appropriation — consistent</t>
  </si>
  <si>
    <t>Board of Trustees Giving</t>
  </si>
  <si>
    <t>$100K fiduciary commitment</t>
  </si>
  <si>
    <t>AME Episcopal Districts (Other)</t>
  </si>
  <si>
    <t>Scholarship support</t>
  </si>
  <si>
    <t>Donations &amp; Fundraising</t>
  </si>
  <si>
    <t>Founders Day + campaigns + alumni</t>
  </si>
  <si>
    <t>Grants (Lilly Endowment Services Offset)</t>
  </si>
  <si>
    <t>Collaborative shared services — offsets operating costs</t>
  </si>
  <si>
    <t>INVESTMENT &amp; OTHER INCOME</t>
  </si>
  <si>
    <t>Investment / Unrealized Gain (Loss)</t>
  </si>
  <si>
    <t>From old budget; actual may vary</t>
  </si>
  <si>
    <t>5% spending policy on endowment funds</t>
  </si>
  <si>
    <t>Other Income</t>
  </si>
  <si>
    <t>Interest + misc</t>
  </si>
  <si>
    <t>EXPENSE ASSUMPTIONS</t>
  </si>
  <si>
    <t>Annual COLA / Expense Escalation Rate</t>
  </si>
  <si>
    <t>Applied to non-personnel operating expenses</t>
  </si>
  <si>
    <t>LOC Balance (Pinnacle Financial Partners)</t>
  </si>
  <si>
    <t>8.5% interest — paydown modeled FY2028+</t>
  </si>
  <si>
    <t>LOC Annual Interest Expense</t>
  </si>
  <si>
    <t>LOC balance × 8.5% — included in M&amp;G</t>
  </si>
  <si>
    <t>Building Repairs &amp; Capital (O&amp;P)</t>
  </si>
  <si>
    <t>FY2026 elevated due to renovations</t>
  </si>
  <si>
    <t>KEY STRATEGIC MILESTONES</t>
  </si>
  <si>
    <t>TRACS Candidacy</t>
  </si>
  <si>
    <t>✓</t>
  </si>
  <si>
    <t>Confirmed 2025 — 5-year candidacy period</t>
  </si>
  <si>
    <t>Title IV / PPA Submission</t>
  </si>
  <si>
    <t>Active</t>
  </si>
  <si>
    <t>—</t>
  </si>
  <si>
    <t>Submitted 3/20/2026 — Pending USDE approval</t>
  </si>
  <si>
    <t>Title IV Approval (Projected)</t>
  </si>
  <si>
    <t>Spring</t>
  </si>
  <si>
    <t>Spring 2027 target — significant enrollment/revenue impact</t>
  </si>
  <si>
    <t>Spelman MOU</t>
  </si>
  <si>
    <t>Final Yr</t>
  </si>
  <si>
    <t>$1,280,440/year — final year FY2026. Non-renewing Fall 2026</t>
  </si>
  <si>
    <t>SACSCOC Corrective Path</t>
  </si>
  <si>
    <t>Target</t>
  </si>
  <si>
    <t>FY2025 composite 0.6. Target: ≥1.5 by FY2028</t>
  </si>
  <si>
    <t>Lilly Endowment Collaborative</t>
  </si>
  <si>
    <t>$10M grant — shared services infrastructure</t>
  </si>
  <si>
    <t>REVENUE DETAIL — Turner Theological Seminary  |  FY2026-FY2031</t>
  </si>
  <si>
    <t>All values are budgeted figures. Blue = input cells in Assumptions tab. Black = formula-calculated.</t>
  </si>
  <si>
    <t>Revenue Line</t>
  </si>
  <si>
    <t>Notes/Driver</t>
  </si>
  <si>
    <t xml:space="preserve">  AME CHURCH &amp; DENOMINATIONAL SUPPORT</t>
  </si>
  <si>
    <t xml:space="preserve">    Connectional AME Church</t>
  </si>
  <si>
    <t xml:space="preserve">    6th Episcopal District</t>
  </si>
  <si>
    <t>Annual appropriation</t>
  </si>
  <si>
    <t xml:space="preserve">    Board of Trustees Giving</t>
  </si>
  <si>
    <t xml:space="preserve">    AME Episcopal Districts (Other)</t>
  </si>
  <si>
    <t xml:space="preserve">    Donations &amp; Fundraising</t>
  </si>
  <si>
    <t>Founders Day, campaigns, alumni</t>
  </si>
  <si>
    <t xml:space="preserve">    Grants (Lilly / Other)</t>
  </si>
  <si>
    <t>Collaborative shared services offset</t>
  </si>
  <si>
    <t xml:space="preserve">  Subtotal — AME &amp; Donations</t>
  </si>
  <si>
    <t>Flows to Summary as 'Private gifts and grants'</t>
  </si>
  <si>
    <t xml:space="preserve">  TUITION &amp; FEES</t>
  </si>
  <si>
    <t xml:space="preserve">    MDiv Enrollment (Students)</t>
  </si>
  <si>
    <t>Annual headcount</t>
  </si>
  <si>
    <t xml:space="preserve">    MDiv Tuition (Gross)</t>
  </si>
  <si>
    <t>Students × $15,600/yr</t>
  </si>
  <si>
    <t xml:space="preserve">    Institutional Aid (Scholarships)</t>
  </si>
  <si>
    <t xml:space="preserve">    Net MDiv Tuition</t>
  </si>
  <si>
    <t xml:space="preserve">    Continuing Ed Programs</t>
  </si>
  <si>
    <t>Certificate, LLMV, CWJ programs</t>
  </si>
  <si>
    <t xml:space="preserve">    Jarena Lee Women's Leadership</t>
  </si>
  <si>
    <t>20 students × $5,000</t>
  </si>
  <si>
    <t xml:space="preserve">    Comprehensive Fees &amp; Other</t>
  </si>
  <si>
    <t>App fees, tech fees, admin fees</t>
  </si>
  <si>
    <t xml:space="preserve">  Net Tuition and Fees (Total)</t>
  </si>
  <si>
    <t>Flows to Summary</t>
  </si>
  <si>
    <t xml:space="preserve">  AUXILIARY ENTERPRISE REVENUE — HOUSING</t>
  </si>
  <si>
    <t>FY2026 = Spelman MOU rate. FY2027+ = self-managed at 75%→95% ramp</t>
  </si>
  <si>
    <t xml:space="preserve">    Summer Corporate Housing</t>
  </si>
  <si>
    <t>FY2027 = A.T.I. $122,376 confirmed; FY2028+ = est.</t>
  </si>
  <si>
    <t xml:space="preserve">    Facility Rentals, Vending &amp; Misc</t>
  </si>
  <si>
    <t>Stable minor revenue</t>
  </si>
  <si>
    <t xml:space="preserve">  Subtotal — Auxiliary Enterprise</t>
  </si>
  <si>
    <t xml:space="preserve">  OTHER REVENUE</t>
  </si>
  <si>
    <t>5% spending policy</t>
  </si>
  <si>
    <t>Portfolio returns</t>
  </si>
  <si>
    <t xml:space="preserve">    Other Income</t>
  </si>
  <si>
    <t>HOUSING REVENUE SCENARIOS — Self-Managed Talbot Hall  |  75% Base Case vs 100% Full Occupancy</t>
  </si>
  <si>
    <t>FY2026 shows Spelman MOU reference rate. FY2027+ shows self-managed model. Budget uses 75% BASE CASE.</t>
  </si>
  <si>
    <t>Metric</t>
  </si>
  <si>
    <t xml:space="preserve">  BUILDING CAPACITY — TALBOT HALL (Self-Managed Model)</t>
  </si>
  <si>
    <t>Private Efficiency Rooms (8 rooms)</t>
  </si>
  <si>
    <t>$8,000/resident/semester (rate+amenity)</t>
  </si>
  <si>
    <t>Shared Efficiency Rooms (10 rooms)</t>
  </si>
  <si>
    <t>$7,000/resident/semester, max 2 residents</t>
  </si>
  <si>
    <t>Private Dorm Rooms (10 rooms)</t>
  </si>
  <si>
    <t>$6,000/resident/semester</t>
  </si>
  <si>
    <t>Shared Dorm Rooms (20 rooms)</t>
  </si>
  <si>
    <t>$5,000/resident/semester, max 2 residents</t>
  </si>
  <si>
    <t>Total Leasable Rooms</t>
  </si>
  <si>
    <t>Both semesters</t>
  </si>
  <si>
    <t xml:space="preserve">  SCENARIO A — 75% BASE CASE (BUDGET MODEL)</t>
  </si>
  <si>
    <t>Occupancy Rate (Residential — 2 semesters)</t>
  </si>
  <si>
    <t>FY2026 = Spelman MOU; FY2027 starts at 75%, +5%/yr</t>
  </si>
  <si>
    <t>Residential Revenue</t>
  </si>
  <si>
    <t>FY2026 = Spelman contract ($1.28M / 2 sems in FY year)</t>
  </si>
  <si>
    <t>A.T.I. $122,376 confirmed FY2027; est. $140K FY2028+</t>
  </si>
  <si>
    <t>Facility Rentals &amp; Vending</t>
  </si>
  <si>
    <t>Stable</t>
  </si>
  <si>
    <t>TOTAL AUXILIARY — 75% Scenario</t>
  </si>
  <si>
    <t>Used in Budget Summary &amp; Revenue Detail</t>
  </si>
  <si>
    <t xml:space="preserve">  SCENARIO B — 100% FULL OCCUPANCY (UPSIDE CASE)</t>
  </si>
  <si>
    <t>Occupancy Rate (Residential)</t>
  </si>
  <si>
    <t>100% in all rooms</t>
  </si>
  <si>
    <t>FY2026 = actual Spelman contract value</t>
  </si>
  <si>
    <t>Same as base case</t>
  </si>
  <si>
    <t>TOTAL AUXILIARY — 100% Scenario</t>
  </si>
  <si>
    <t>Revenue upside vs base case</t>
  </si>
  <si>
    <t xml:space="preserve">  VARIANCE — 100% vs 75% (REVENUE UPSIDE)</t>
  </si>
  <si>
    <t>Additional Revenue at 100% Occupancy</t>
  </si>
  <si>
    <t>Represents unfilled room potential</t>
  </si>
  <si>
    <t xml:space="preserve">  RATE REFERENCE TABLE — Talbot Hall (Effective FY2027 Self-Managed Rates)</t>
  </si>
  <si>
    <t xml:space="preserve">    Private Efficiency (8 rooms, 1 resident)</t>
  </si>
  <si>
    <t>Single occupant</t>
  </si>
  <si>
    <t xml:space="preserve">    Shared Efficiency (10 rooms, 2 residents)</t>
  </si>
  <si>
    <t>Max 2 residents</t>
  </si>
  <si>
    <t xml:space="preserve">    Private Dorm (10 rooms, 1 resident)</t>
  </si>
  <si>
    <t xml:space="preserve">    Shared Dorm (20 rooms, 2 residents)</t>
  </si>
  <si>
    <t>ANNUAL BUDGET REPORT — Select Fiscal Year:</t>
  </si>
  <si>
    <t>Selected Fiscal Year:</t>
  </si>
  <si>
    <t>FY 2026-27 (July 1, 2026 – June 30, 2027)</t>
  </si>
  <si>
    <t>↑ Update this cell to change the year displayed below</t>
  </si>
  <si>
    <t>TURNER THEOLOGICAL SEMINARY
OPERATING BUDGET — FY 2026-27
July 1, 2026 – June 30, 2027</t>
  </si>
  <si>
    <t>BUDGET CATEGORY</t>
  </si>
  <si>
    <t>% OF REVENUE</t>
  </si>
  <si>
    <t>KEY ASSUMPTIONS</t>
  </si>
  <si>
    <t>MDiv Enrollment</t>
  </si>
  <si>
    <t>Housing Occupancy Rate (Self-Managed)</t>
  </si>
  <si>
    <t>Title IV / PPA Status</t>
  </si>
  <si>
    <t>Pending USDE Approval</t>
  </si>
  <si>
    <t>Annual LOC Interest Expense (8.5%)</t>
  </si>
  <si>
    <t>Turner Theological Seminary, Inc.  ·  702 Martin Luther King Jr. Drive SW, Atlanta, GA 30314  ·  Office of Business &amp; Finance</t>
  </si>
  <si>
    <t>EXPENSE DETAIL — Turner Theological Seminary  |  FY2026-FY2031</t>
  </si>
  <si>
    <t>COLA: 3% applied annually to non-personnel operating expenses. Personnel additions in year shown as 'new hire'.</t>
  </si>
  <si>
    <t>Functional Expense</t>
  </si>
  <si>
    <t xml:space="preserve">  PROGRAM SERVICES</t>
  </si>
  <si>
    <t xml:space="preserve">    Personnel — Program Staff</t>
  </si>
  <si>
    <t>Includes academic, enrollment, IE, fin aid staff (Title IV FY2028)</t>
  </si>
  <si>
    <t xml:space="preserve">    Faculty Compensation (Current)</t>
  </si>
  <si>
    <t>5 PT + curriculum</t>
  </si>
  <si>
    <t xml:space="preserve">    Additional Faculty (New)</t>
  </si>
  <si>
    <t>Hired FY2028 with enrollment growth</t>
  </si>
  <si>
    <t>FY2026 elevated (candidacy fees). Normalizes FY2027+</t>
  </si>
  <si>
    <t xml:space="preserve">    Scholarships (Institutional Aid — Non-MDiv)</t>
  </si>
  <si>
    <t>Declining as Title IV federal aid takes over</t>
  </si>
  <si>
    <t xml:space="preserve">    Academic Technology &amp; Library</t>
  </si>
  <si>
    <t>3% COLA</t>
  </si>
  <si>
    <t xml:space="preserve">    Student Services &amp; Enrollment</t>
  </si>
  <si>
    <t xml:space="preserve">    Other Program Expenses</t>
  </si>
  <si>
    <t>Travel, events, communications, materials</t>
  </si>
  <si>
    <t xml:space="preserve">  SUBTOTAL — Program Services</t>
  </si>
  <si>
    <t xml:space="preserve">  MANAGEMENT &amp; GENERAL</t>
  </si>
  <si>
    <t xml:space="preserve">    Personnel — Executive &amp; Administrative</t>
  </si>
  <si>
    <t>Includes President, CAO, Admin teams</t>
  </si>
  <si>
    <t xml:space="preserve">    AVP of Advancement (New Hire)</t>
  </si>
  <si>
    <t>Hired FY2028 post-accreditation</t>
  </si>
  <si>
    <t xml:space="preserve">    AVP Business &amp; Finance (New Hire)</t>
  </si>
  <si>
    <t>Hired FY2029</t>
  </si>
  <si>
    <t xml:space="preserve">    AVP Administration (New Hire)</t>
  </si>
  <si>
    <t xml:space="preserve">    LOC Interest Expense (Pinnacle LOC)</t>
  </si>
  <si>
    <t xml:space="preserve">    Accounting &amp; Audit</t>
  </si>
  <si>
    <t xml:space="preserve">    Insurance (Officers, Property &amp; Casualty)</t>
  </si>
  <si>
    <t xml:space="preserve">    Advertising, Marketing &amp; Promotions</t>
  </si>
  <si>
    <t xml:space="preserve">    Payroll Processing &amp; Bank Fees</t>
  </si>
  <si>
    <t xml:space="preserve">    Travel &amp; Meetings</t>
  </si>
  <si>
    <t xml:space="preserve">    Founders Day &amp; Special Events</t>
  </si>
  <si>
    <t xml:space="preserve">    Supplies, Software, Office &amp; Other</t>
  </si>
  <si>
    <t xml:space="preserve">  SUBTOTAL — Management &amp; General</t>
  </si>
  <si>
    <t xml:space="preserve">  OPERATION OF PLANT &amp; MAINTENANCE</t>
  </si>
  <si>
    <t xml:space="preserve">    Personnel — Facilities &amp; Security</t>
  </si>
  <si>
    <t>Security team + coordinator + facility mgr</t>
  </si>
  <si>
    <t xml:space="preserve">    Building Repairs &amp; Maintenance</t>
  </si>
  <si>
    <t>FY2026 elevated for renovations; $100K/yr maintenance reserve</t>
  </si>
  <si>
    <t xml:space="preserve">    Utilities</t>
  </si>
  <si>
    <t>3% COLA from FY2026 actual</t>
  </si>
  <si>
    <t xml:space="preserve">    Property &amp; Casualty Insurance</t>
  </si>
  <si>
    <t>Included in M&amp;G above</t>
  </si>
  <si>
    <t xml:space="preserve">    Contracted Services (Grounds, Elevator, Pest)</t>
  </si>
  <si>
    <t xml:space="preserve">    Garbage Removal &amp; Janitorial</t>
  </si>
  <si>
    <t xml:space="preserve">    CORT Furniture Lease</t>
  </si>
  <si>
    <t>FY2026 final year — Spelman agreement. Self-managed rooms not needing CORT.</t>
  </si>
  <si>
    <t xml:space="preserve">    Capital &amp; Other Plant Expenses</t>
  </si>
  <si>
    <t>Residual — balances to subtotal</t>
  </si>
  <si>
    <t xml:space="preserve">  SUBTOTAL — Operations &amp; Plant</t>
  </si>
  <si>
    <t>Net Operating Surplus (Deficit)</t>
  </si>
  <si>
    <t>Positive = surplus; negative = deficit</t>
  </si>
  <si>
    <t>PERSONNEL MODEL — Turner Theological Seminary  |  FY2026-FY2031</t>
  </si>
  <si>
    <t>Teal = new hire position | 3% annual COLA applied to current positions | All salaries are budgeted amounts</t>
  </si>
  <si>
    <t>Position</t>
  </si>
  <si>
    <t>Dept</t>
  </si>
  <si>
    <t>Salary</t>
  </si>
  <si>
    <t>Benefits</t>
  </si>
  <si>
    <t>Payroll Tax</t>
  </si>
  <si>
    <t>Total Cost</t>
  </si>
  <si>
    <t>Status</t>
  </si>
  <si>
    <t xml:space="preserve">  OFFICE OF THE PRESIDENT</t>
  </si>
  <si>
    <t xml:space="preserve">    President</t>
  </si>
  <si>
    <t>M</t>
  </si>
  <si>
    <t>Filled</t>
  </si>
  <si>
    <t>M — Mgmt &amp; General</t>
  </si>
  <si>
    <t xml:space="preserve">    Administrative Assistant</t>
  </si>
  <si>
    <t xml:space="preserve">    Special Assistant to President</t>
  </si>
  <si>
    <t xml:space="preserve">    Administrative Support</t>
  </si>
  <si>
    <t xml:space="preserve">  Office of the President Total (Filled Positions)</t>
  </si>
  <si>
    <t xml:space="preserve">  ACADEMIC AFFAIRS</t>
  </si>
  <si>
    <t xml:space="preserve">    Chief Academic Officer</t>
  </si>
  <si>
    <t xml:space="preserve">    Enrollment Management Director</t>
  </si>
  <si>
    <t>P</t>
  </si>
  <si>
    <t>P — Program</t>
  </si>
  <si>
    <t xml:space="preserve">    Admissions &amp; Retention</t>
  </si>
  <si>
    <t xml:space="preserve">    Faculty (5 Part-Time)</t>
  </si>
  <si>
    <t xml:space="preserve">    Student Services Director</t>
  </si>
  <si>
    <t>FY2028 — Title IV</t>
  </si>
  <si>
    <t xml:space="preserve">    Additional Faculty (FT)</t>
  </si>
  <si>
    <t xml:space="preserve">  Academic Affairs Total (Filled Positions)</t>
  </si>
  <si>
    <t xml:space="preserve">  ADVANCEMENT</t>
  </si>
  <si>
    <t xml:space="preserve">    AVP of Advancement</t>
  </si>
  <si>
    <t>FY2028</t>
  </si>
  <si>
    <t xml:space="preserve">  Advancement Total (Filled Positions)</t>
  </si>
  <si>
    <t xml:space="preserve">  BUSINESS &amp; FINANCE</t>
  </si>
  <si>
    <t xml:space="preserve">    Controller</t>
  </si>
  <si>
    <t xml:space="preserve">    Accounting &amp; Operations</t>
  </si>
  <si>
    <t xml:space="preserve">    Finance &amp; Compliance</t>
  </si>
  <si>
    <t xml:space="preserve">    AVP of Business &amp; Finance</t>
  </si>
  <si>
    <t>FY2029</t>
  </si>
  <si>
    <t xml:space="preserve">  Business &amp; Finance Total (Filled Positions)</t>
  </si>
  <si>
    <t xml:space="preserve">  ADMINISTRATION &amp; OPERATIONS</t>
  </si>
  <si>
    <t xml:space="preserve">    Human Resources Manager</t>
  </si>
  <si>
    <t xml:space="preserve">    HR &amp; Finance Support</t>
  </si>
  <si>
    <t xml:space="preserve">    Facility &amp; Security Mgr</t>
  </si>
  <si>
    <t>O</t>
  </si>
  <si>
    <t>O — Operations</t>
  </si>
  <si>
    <t xml:space="preserve">    Security Coordinator</t>
  </si>
  <si>
    <t xml:space="preserve">    Security Team</t>
  </si>
  <si>
    <t xml:space="preserve">    Director of Spiritual Life</t>
  </si>
  <si>
    <t xml:space="preserve">    IT Department</t>
  </si>
  <si>
    <t xml:space="preserve">    AVP of Administration</t>
  </si>
  <si>
    <t xml:space="preserve">  Administration &amp; Operations Total (Filled Positions)</t>
  </si>
  <si>
    <t xml:space="preserve">  INSTITUTIONAL EFFECTIVENESS</t>
  </si>
  <si>
    <t xml:space="preserve">    Director of Inst. Effectiveness</t>
  </si>
  <si>
    <t xml:space="preserve">  Institutional Effectiveness Total (Filled Positions)</t>
  </si>
  <si>
    <t xml:space="preserve">  FINANCIAL AID (TITLE IV)</t>
  </si>
  <si>
    <t xml:space="preserve">    Director of Financial Aid</t>
  </si>
  <si>
    <t>FY2028 — Title IV Approval</t>
  </si>
  <si>
    <t xml:space="preserve">    Financial Aid Specialist</t>
  </si>
  <si>
    <t xml:space="preserve">    VA Certifying Official</t>
  </si>
  <si>
    <t xml:space="preserve">  Financial Aid (Title IV) Total (Filled Positions)</t>
  </si>
  <si>
    <t>TOTAL ANNUAL COMPENSATION (Filled Positions)</t>
  </si>
  <si>
    <t>Eliminated</t>
  </si>
  <si>
    <t xml:space="preserve">    Accreditation Consultant 2 (ATS)</t>
  </si>
  <si>
    <t xml:space="preserve">    Accreditation Consultant 1 (TRACS)</t>
  </si>
  <si>
    <t xml:space="preserve">    Facilities, Operations Manager &amp; Accounting Support</t>
  </si>
  <si>
    <t xml:space="preserve">    Exec. Director of Institutional Advancement, Enrollment     
    Strategy, and Housing Operations</t>
  </si>
  <si>
    <t xml:space="preserve">    Director of Business &amp; Finance</t>
  </si>
  <si>
    <t>Sponsorships/Sales Activity</t>
  </si>
  <si>
    <t>Philanthropic Giving</t>
  </si>
  <si>
    <t xml:space="preserve">    Investment Income / 
    Unrealized Gain (Loss)</t>
  </si>
  <si>
    <t xml:space="preserve">    Philanthropic Revenue/Support
    (Unrestricted)</t>
  </si>
  <si>
    <t xml:space="preserve">    Scholarship Revenue 
    (Restricted Endowment)</t>
  </si>
  <si>
    <t>Declining as Title IV 
federal aid takes effect</t>
  </si>
  <si>
    <t xml:space="preserve">    Residential Housing 
    (Sem. × Rate × Occupancy)</t>
  </si>
  <si>
    <t>Max Annual Residential Revenue 
(100% Occupancy)</t>
  </si>
  <si>
    <t xml:space="preserve">    Accreditation Fees 
    (TRACS, SACS, ATS, GNPEC)</t>
  </si>
  <si>
    <t>8.5% on declining balance — paydown FY2027</t>
  </si>
  <si>
    <t>3% COLA (Vacant)</t>
  </si>
  <si>
    <t>Scholarship Revenue</t>
  </si>
  <si>
    <t xml:space="preserve">  Scholarship Revenue</t>
  </si>
  <si>
    <t xml:space="preserve">  Endowment Investment Revenue 
 (5% ROI on Endowments)</t>
  </si>
  <si>
    <t>Prepared for: Board of Trustees  ·  TRACS  ·  ATS  ·  SACSCOC  ·  U.S. Department of Education</t>
  </si>
  <si>
    <t>Endowment Investment Income (5% ROI)</t>
  </si>
  <si>
    <t xml:space="preserve">  Endowment Investment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</si>
</sst>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\$#,##0;\(\$#,##0\);&quot;-&quot;"/>
    <numFmt numFmtId="165" formatCode="0.0%;0.0%;&quot;-&quot;"/>
    <numFmt numFmtId="166" formatCode="0.0"/>
    <numFmt numFmtId="167" formatCode="\$#,##0"/>
    <numFmt numFmtId="168" formatCode="&quot;$&quot;#,##0"/>
  </numFmts>
  <fonts count="37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1"/>
      <color rgb="FFC9A22B"/>
      <name val="Arial"/>
    </font>
    <font>
      <i/>
      <sz val="8"/>
      <color rgb="FFEDE9F6"/>
      <name val="Arial"/>
    </font>
    <font>
      <b/>
      <sz val="9"/>
      <color rgb="FFFFFFFF"/>
      <name val="Arial"/>
    </font>
    <font>
      <i/>
      <sz val="7"/>
      <color rgb="FF64748B"/>
      <name val="Arial"/>
    </font>
    <font>
      <b/>
      <sz val="10"/>
      <color rgb="FFFFFFFF"/>
      <name val="Arial"/>
    </font>
    <font>
      <sz val="10"/>
      <color rgb="FF1E293B"/>
      <name val="Arial"/>
    </font>
    <font>
      <sz val="10"/>
      <color rgb="FF991B1B"/>
      <name val="Arial"/>
    </font>
    <font>
      <b/>
      <sz val="10"/>
      <color rgb="FF5A2D91"/>
      <name val="Arial"/>
    </font>
    <font>
      <b/>
      <sz val="10"/>
      <color rgb="FFC9A22B"/>
      <name val="Arial"/>
    </font>
    <font>
      <b/>
      <sz val="10"/>
      <color rgb="FF166534"/>
      <name val="Arial"/>
    </font>
    <font>
      <sz val="10"/>
      <color rgb="FF64748B"/>
      <name val="Arial"/>
    </font>
    <font>
      <sz val="9"/>
      <color rgb="FF166534"/>
      <name val="Arial"/>
    </font>
    <font>
      <b/>
      <sz val="9"/>
      <color rgb="FF5A2D91"/>
      <name val="Arial"/>
    </font>
    <font>
      <b/>
      <sz val="10"/>
      <color rgb="FFB45309"/>
      <name val="Arial"/>
    </font>
    <font>
      <sz val="9"/>
      <color rgb="FF1E293B"/>
      <name val="Arial"/>
    </font>
    <font>
      <b/>
      <sz val="12"/>
      <color rgb="FFFFFFFF"/>
      <name val="Arial"/>
    </font>
    <font>
      <i/>
      <sz val="8"/>
      <color rgb="FF64748B"/>
      <name val="Arial"/>
    </font>
    <font>
      <sz val="9"/>
      <color rgb="FF0000FF"/>
      <name val="Arial"/>
    </font>
    <font>
      <b/>
      <sz val="9"/>
      <color rgb="FF1E293B"/>
      <name val="Arial"/>
    </font>
    <font>
      <b/>
      <sz val="9"/>
      <color rgb="FF166534"/>
      <name val="Arial"/>
    </font>
    <font>
      <b/>
      <sz val="9"/>
      <color rgb="FFB45309"/>
      <name val="Arial"/>
    </font>
    <font>
      <sz val="9"/>
      <color rgb="FF64748B"/>
      <name val="Arial"/>
    </font>
    <font>
      <b/>
      <sz val="11"/>
      <color rgb="FFFFFFFF"/>
      <name val="Arial"/>
    </font>
    <font>
      <sz val="9"/>
      <color rgb="FF991B1B"/>
      <name val="Arial"/>
    </font>
    <font>
      <sz val="9"/>
      <color rgb="FF0F766E"/>
      <name val="Arial"/>
    </font>
    <font>
      <i/>
      <sz val="8"/>
      <color rgb="FF0F766E"/>
      <name val="Arial"/>
    </font>
    <font>
      <b/>
      <sz val="9"/>
      <color rgb="FF0F766E"/>
      <name val="Arial"/>
    </font>
    <font>
      <sz val="8"/>
      <color rgb="FF64748B"/>
      <name val="Arial"/>
    </font>
    <font>
      <b/>
      <sz val="13"/>
      <color rgb="FFFFFFFF"/>
      <name val="Arial"/>
    </font>
    <font>
      <sz val="9"/>
      <color rgb="FFB45309"/>
      <name val="Arial"/>
    </font>
    <font>
      <sz val="11"/>
      <color theme="1"/>
      <name val="Calibri"/>
      <family val="2"/>
      <scheme val="minor"/>
    </font>
    <font>
      <sz val="8"/>
      <color rgb="FF0F766E"/>
      <name val="Arial"/>
      <family val="2"/>
    </font>
    <font>
      <sz val="9"/>
      <color rgb="FF0F766E"/>
      <name val="Arial"/>
      <family val="2"/>
    </font>
    <font>
      <b/>
      <sz val="9"/>
      <color rgb="FF0F766E"/>
      <name val="Arial"/>
      <family val="2"/>
    </font>
    <font>
      <sz val="9"/>
      <color rgb="FF1E293B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5A2D91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EDE9F6"/>
      </patternFill>
    </fill>
    <fill>
      <patternFill patternType="solid">
        <fgColor rgb="FFFFF7ED"/>
      </patternFill>
    </fill>
    <fill>
      <patternFill patternType="solid">
        <fgColor rgb="FFF0FDF4"/>
      </patternFill>
    </fill>
    <fill>
      <patternFill patternType="solid">
        <fgColor rgb="FF0F766E"/>
      </patternFill>
    </fill>
    <fill>
      <patternFill patternType="solid">
        <fgColor rgb="FF2D1B5E"/>
      </patternFill>
    </fill>
    <fill>
      <patternFill patternType="solid">
        <fgColor rgb="FFF0FDFA"/>
      </patternFill>
    </fill>
    <fill>
      <patternFill patternType="solid">
        <fgColor rgb="FFE6FFFB"/>
      </patternFill>
    </fill>
    <fill>
      <patternFill patternType="solid">
        <fgColor rgb="FFFEF3C7"/>
      </patternFill>
    </fill>
  </fills>
  <borders count="13">
    <border>
      <left/>
      <right/>
      <top/>
      <bottom/>
      <diagonal/>
    </border>
    <border>
      <left style="medium">
        <color rgb="FF5A2D91"/>
      </left>
      <right style="medium">
        <color rgb="FF5A2D91"/>
      </right>
      <top style="medium">
        <color rgb="FF5A2D91"/>
      </top>
      <bottom style="medium">
        <color rgb="FF5A2D9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5A2D91"/>
      </left>
      <right style="thin">
        <color rgb="FFCBD5E1"/>
      </right>
      <top style="medium">
        <color rgb="FF5A2D91"/>
      </top>
      <bottom style="medium">
        <color rgb="FF5A2D91"/>
      </bottom>
      <diagonal/>
    </border>
    <border>
      <left style="thin">
        <color rgb="FF5A2D91"/>
      </left>
      <right style="thin">
        <color rgb="FF5A2D91"/>
      </right>
      <top style="thin">
        <color rgb="FF5A2D91"/>
      </top>
      <bottom style="thin">
        <color rgb="FF5A2D91"/>
      </bottom>
      <diagonal/>
    </border>
    <border>
      <left style="thin">
        <color rgb="FFCBD5E1"/>
      </left>
      <right style="thin">
        <color rgb="FFCBD5E1"/>
      </right>
      <top style="medium">
        <color rgb="FF5A2D91"/>
      </top>
      <bottom style="medium">
        <color rgb="FF5A2D91"/>
      </bottom>
      <diagonal/>
    </border>
    <border>
      <left style="medium">
        <color rgb="FFC9A22B"/>
      </left>
      <right style="medium">
        <color rgb="FFC9A22B"/>
      </right>
      <top style="medium">
        <color rgb="FFC9A22B"/>
      </top>
      <bottom style="medium">
        <color rgb="FFC9A22B"/>
      </bottom>
      <diagonal/>
    </border>
    <border>
      <left style="thin">
        <color rgb="FFCBD5E1"/>
      </left>
      <right style="thin">
        <color rgb="FFCBD5E1"/>
      </right>
      <top style="medium">
        <color rgb="FFC9A22B"/>
      </top>
      <bottom style="medium">
        <color rgb="FFC9A22B"/>
      </bottom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 style="medium">
        <color rgb="FF0F766E"/>
      </left>
      <right style="medium">
        <color rgb="FF0F766E"/>
      </right>
      <top style="medium">
        <color rgb="FF0F766E"/>
      </top>
      <bottom style="medium">
        <color rgb="FF0F766E"/>
      </bottom>
      <diagonal/>
    </border>
    <border>
      <left/>
      <right style="thin">
        <color rgb="FFCBD5E1"/>
      </right>
      <top style="medium">
        <color rgb="FFC9A22B"/>
      </top>
      <bottom style="medium">
        <color rgb="FFC9A22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0" fillId="3" borderId="0" xfId="0" applyFill="1"/>
    <xf numFmtId="0" fontId="4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5" fillId="4" borderId="2" xfId="0" applyFont="1" applyFill="1" applyBorder="1" applyAlignment="1">
      <alignment horizontal="center" vertical="center" wrapText="1"/>
    </xf>
    <xf numFmtId="0" fontId="0" fillId="5" borderId="0" xfId="0" applyFill="1"/>
    <xf numFmtId="0" fontId="6" fillId="2" borderId="1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left" vertical="center"/>
    </xf>
    <xf numFmtId="0" fontId="0" fillId="6" borderId="0" xfId="0" applyFill="1"/>
    <xf numFmtId="164" fontId="7" fillId="6" borderId="3" xfId="0" applyNumberFormat="1" applyFont="1" applyFill="1" applyBorder="1" applyAlignment="1">
      <alignment horizontal="right" vertical="center"/>
    </xf>
    <xf numFmtId="0" fontId="7" fillId="5" borderId="3" xfId="0" applyFont="1" applyFill="1" applyBorder="1" applyAlignment="1">
      <alignment horizontal="left" vertical="center"/>
    </xf>
    <xf numFmtId="164" fontId="7" fillId="5" borderId="3" xfId="0" applyNumberFormat="1" applyFont="1" applyFill="1" applyBorder="1" applyAlignment="1">
      <alignment horizontal="right" vertical="center"/>
    </xf>
    <xf numFmtId="164" fontId="8" fillId="5" borderId="3" xfId="0" applyNumberFormat="1" applyFont="1" applyFill="1" applyBorder="1" applyAlignment="1">
      <alignment horizontal="right" vertical="center"/>
    </xf>
    <xf numFmtId="0" fontId="9" fillId="7" borderId="4" xfId="0" applyFont="1" applyFill="1" applyBorder="1" applyAlignment="1">
      <alignment horizontal="left" vertical="center"/>
    </xf>
    <xf numFmtId="0" fontId="0" fillId="7" borderId="5" xfId="0" applyFill="1" applyBorder="1"/>
    <xf numFmtId="164" fontId="9" fillId="7" borderId="6" xfId="0" applyNumberFormat="1" applyFont="1" applyFill="1" applyBorder="1" applyAlignment="1">
      <alignment horizontal="right" vertical="center"/>
    </xf>
    <xf numFmtId="164" fontId="11" fillId="9" borderId="8" xfId="0" applyNumberFormat="1" applyFont="1" applyFill="1" applyBorder="1" applyAlignment="1">
      <alignment horizontal="right" vertical="center"/>
    </xf>
    <xf numFmtId="0" fontId="12" fillId="4" borderId="3" xfId="0" applyFont="1" applyFill="1" applyBorder="1" applyAlignment="1">
      <alignment horizontal="left" vertical="center"/>
    </xf>
    <xf numFmtId="0" fontId="14" fillId="7" borderId="5" xfId="0" applyFont="1" applyFill="1" applyBorder="1" applyAlignment="1">
      <alignment horizontal="left" vertical="center"/>
    </xf>
    <xf numFmtId="0" fontId="12" fillId="6" borderId="3" xfId="0" applyFont="1" applyFill="1" applyBorder="1" applyAlignment="1">
      <alignment horizontal="left" vertical="center"/>
    </xf>
    <xf numFmtId="166" fontId="15" fillId="6" borderId="2" xfId="0" applyNumberFormat="1" applyFont="1" applyFill="1" applyBorder="1" applyAlignment="1">
      <alignment horizontal="center" vertical="center" wrapText="1"/>
    </xf>
    <xf numFmtId="166" fontId="11" fillId="6" borderId="2" xfId="0" applyNumberFormat="1" applyFont="1" applyFill="1" applyBorder="1" applyAlignment="1">
      <alignment horizontal="center" vertical="center" wrapText="1"/>
    </xf>
    <xf numFmtId="3" fontId="16" fillId="6" borderId="2" xfId="0" applyNumberFormat="1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left" vertical="center" wrapText="1"/>
    </xf>
    <xf numFmtId="3" fontId="19" fillId="6" borderId="2" xfId="0" applyNumberFormat="1" applyFont="1" applyFill="1" applyBorder="1" applyAlignment="1">
      <alignment horizontal="right" vertical="center"/>
    </xf>
    <xf numFmtId="0" fontId="18" fillId="6" borderId="2" xfId="0" applyFont="1" applyFill="1" applyBorder="1" applyAlignment="1">
      <alignment horizontal="left" vertical="center" wrapText="1"/>
    </xf>
    <xf numFmtId="0" fontId="16" fillId="5" borderId="2" xfId="0" applyFont="1" applyFill="1" applyBorder="1" applyAlignment="1">
      <alignment horizontal="left" vertical="center" wrapText="1"/>
    </xf>
    <xf numFmtId="167" fontId="19" fillId="5" borderId="2" xfId="0" applyNumberFormat="1" applyFont="1" applyFill="1" applyBorder="1" applyAlignment="1">
      <alignment horizontal="right" vertical="center"/>
    </xf>
    <xf numFmtId="0" fontId="18" fillId="5" borderId="2" xfId="0" applyFont="1" applyFill="1" applyBorder="1" applyAlignment="1">
      <alignment horizontal="left" vertical="center" wrapText="1"/>
    </xf>
    <xf numFmtId="165" fontId="19" fillId="6" borderId="2" xfId="0" applyNumberFormat="1" applyFont="1" applyFill="1" applyBorder="1" applyAlignment="1">
      <alignment horizontal="right" vertical="center"/>
    </xf>
    <xf numFmtId="3" fontId="19" fillId="5" borderId="2" xfId="0" applyNumberFormat="1" applyFont="1" applyFill="1" applyBorder="1" applyAlignment="1">
      <alignment horizontal="right" vertical="center"/>
    </xf>
    <xf numFmtId="167" fontId="19" fillId="6" borderId="2" xfId="0" applyNumberFormat="1" applyFont="1" applyFill="1" applyBorder="1" applyAlignment="1">
      <alignment horizontal="right" vertical="center"/>
    </xf>
    <xf numFmtId="165" fontId="19" fillId="5" borderId="2" xfId="0" applyNumberFormat="1" applyFont="1" applyFill="1" applyBorder="1" applyAlignment="1">
      <alignment horizontal="right" vertical="center"/>
    </xf>
    <xf numFmtId="0" fontId="20" fillId="5" borderId="2" xfId="0" applyFont="1" applyFill="1" applyBorder="1" applyAlignment="1">
      <alignment horizontal="left" vertical="center"/>
    </xf>
    <xf numFmtId="0" fontId="21" fillId="5" borderId="2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left" vertical="center"/>
    </xf>
    <xf numFmtId="0" fontId="22" fillId="6" borderId="2" xfId="0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center" vertical="center" wrapText="1"/>
    </xf>
    <xf numFmtId="0" fontId="23" fillId="5" borderId="2" xfId="0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center" vertical="center" wrapText="1"/>
    </xf>
    <xf numFmtId="164" fontId="16" fillId="5" borderId="2" xfId="0" applyNumberFormat="1" applyFont="1" applyFill="1" applyBorder="1" applyAlignment="1">
      <alignment horizontal="right" vertical="center"/>
    </xf>
    <xf numFmtId="164" fontId="16" fillId="6" borderId="2" xfId="0" applyNumberFormat="1" applyFont="1" applyFill="1" applyBorder="1" applyAlignment="1">
      <alignment horizontal="right" vertical="center"/>
    </xf>
    <xf numFmtId="0" fontId="20" fillId="7" borderId="2" xfId="0" applyFont="1" applyFill="1" applyBorder="1" applyAlignment="1">
      <alignment horizontal="left" vertical="center" wrapText="1"/>
    </xf>
    <xf numFmtId="164" fontId="21" fillId="7" borderId="2" xfId="0" applyNumberFormat="1" applyFont="1" applyFill="1" applyBorder="1" applyAlignment="1">
      <alignment horizontal="right" vertical="center"/>
    </xf>
    <xf numFmtId="0" fontId="18" fillId="7" borderId="2" xfId="0" applyFont="1" applyFill="1" applyBorder="1" applyAlignment="1">
      <alignment horizontal="left" vertical="center" wrapText="1"/>
    </xf>
    <xf numFmtId="3" fontId="16" fillId="6" borderId="2" xfId="0" applyNumberFormat="1" applyFont="1" applyFill="1" applyBorder="1" applyAlignment="1">
      <alignment horizontal="right" vertical="center"/>
    </xf>
    <xf numFmtId="164" fontId="25" fillId="6" borderId="2" xfId="0" applyNumberFormat="1" applyFont="1" applyFill="1" applyBorder="1" applyAlignment="1">
      <alignment horizontal="right" vertical="center"/>
    </xf>
    <xf numFmtId="0" fontId="20" fillId="6" borderId="2" xfId="0" applyFont="1" applyFill="1" applyBorder="1" applyAlignment="1">
      <alignment horizontal="left" vertical="center" wrapText="1"/>
    </xf>
    <xf numFmtId="164" fontId="21" fillId="6" borderId="2" xfId="0" applyNumberFormat="1" applyFont="1" applyFill="1" applyBorder="1" applyAlignment="1">
      <alignment horizontal="right" vertical="center"/>
    </xf>
    <xf numFmtId="164" fontId="25" fillId="5" borderId="2" xfId="0" applyNumberFormat="1" applyFont="1" applyFill="1" applyBorder="1" applyAlignment="1">
      <alignment horizontal="right" vertical="center"/>
    </xf>
    <xf numFmtId="0" fontId="4" fillId="10" borderId="10" xfId="0" applyFont="1" applyFill="1" applyBorder="1" applyAlignment="1">
      <alignment horizontal="center" vertical="center" wrapText="1"/>
    </xf>
    <xf numFmtId="3" fontId="16" fillId="5" borderId="2" xfId="0" applyNumberFormat="1" applyFont="1" applyFill="1" applyBorder="1" applyAlignment="1">
      <alignment horizontal="right" vertical="center"/>
    </xf>
    <xf numFmtId="0" fontId="20" fillId="12" borderId="2" xfId="0" applyFont="1" applyFill="1" applyBorder="1" applyAlignment="1">
      <alignment horizontal="left" vertical="center" wrapText="1"/>
    </xf>
    <xf numFmtId="3" fontId="28" fillId="12" borderId="2" xfId="0" applyNumberFormat="1" applyFont="1" applyFill="1" applyBorder="1" applyAlignment="1">
      <alignment horizontal="right" vertical="center"/>
    </xf>
    <xf numFmtId="0" fontId="18" fillId="12" borderId="2" xfId="0" applyFont="1" applyFill="1" applyBorder="1" applyAlignment="1">
      <alignment horizontal="left" vertical="center" wrapText="1"/>
    </xf>
    <xf numFmtId="164" fontId="28" fillId="12" borderId="2" xfId="0" applyNumberFormat="1" applyFont="1" applyFill="1" applyBorder="1" applyAlignment="1">
      <alignment horizontal="right" vertical="center"/>
    </xf>
    <xf numFmtId="165" fontId="16" fillId="5" borderId="2" xfId="0" applyNumberFormat="1" applyFont="1" applyFill="1" applyBorder="1" applyAlignment="1">
      <alignment horizontal="right" vertical="center"/>
    </xf>
    <xf numFmtId="165" fontId="16" fillId="6" borderId="2" xfId="0" applyNumberFormat="1" applyFont="1" applyFill="1" applyBorder="1" applyAlignment="1">
      <alignment horizontal="right" vertical="center"/>
    </xf>
    <xf numFmtId="0" fontId="20" fillId="13" borderId="2" xfId="0" applyFont="1" applyFill="1" applyBorder="1" applyAlignment="1">
      <alignment horizontal="left" vertical="center" wrapText="1"/>
    </xf>
    <xf numFmtId="164" fontId="28" fillId="13" borderId="2" xfId="0" applyNumberFormat="1" applyFont="1" applyFill="1" applyBorder="1" applyAlignment="1">
      <alignment horizontal="right" vertical="center"/>
    </xf>
    <xf numFmtId="0" fontId="18" fillId="13" borderId="2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2" fillId="14" borderId="7" xfId="0" applyFont="1" applyFill="1" applyBorder="1" applyAlignment="1">
      <alignment horizontal="left" vertical="center"/>
    </xf>
    <xf numFmtId="0" fontId="18" fillId="4" borderId="0" xfId="0" applyFont="1" applyFill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  <xf numFmtId="164" fontId="7" fillId="5" borderId="2" xfId="0" applyNumberFormat="1" applyFont="1" applyFill="1" applyBorder="1" applyAlignment="1">
      <alignment horizontal="right" vertical="center"/>
    </xf>
    <xf numFmtId="165" fontId="23" fillId="5" borderId="2" xfId="0" applyNumberFormat="1" applyFont="1" applyFill="1" applyBorder="1" applyAlignment="1">
      <alignment horizontal="right" vertical="center"/>
    </xf>
    <xf numFmtId="0" fontId="0" fillId="7" borderId="0" xfId="0" applyFill="1"/>
    <xf numFmtId="0" fontId="9" fillId="7" borderId="2" xfId="0" applyFont="1" applyFill="1" applyBorder="1" applyAlignment="1">
      <alignment horizontal="left" vertical="center"/>
    </xf>
    <xf numFmtId="164" fontId="11" fillId="7" borderId="2" xfId="0" applyNumberFormat="1" applyFont="1" applyFill="1" applyBorder="1" applyAlignment="1">
      <alignment horizontal="right" vertical="center"/>
    </xf>
    <xf numFmtId="165" fontId="23" fillId="7" borderId="2" xfId="0" applyNumberFormat="1" applyFont="1" applyFill="1" applyBorder="1" applyAlignment="1">
      <alignment horizontal="right" vertical="center"/>
    </xf>
    <xf numFmtId="0" fontId="0" fillId="9" borderId="0" xfId="0" applyFill="1"/>
    <xf numFmtId="0" fontId="9" fillId="9" borderId="2" xfId="0" applyFont="1" applyFill="1" applyBorder="1" applyAlignment="1">
      <alignment horizontal="left" vertical="center"/>
    </xf>
    <xf numFmtId="164" fontId="11" fillId="9" borderId="2" xfId="0" applyNumberFormat="1" applyFont="1" applyFill="1" applyBorder="1" applyAlignment="1">
      <alignment horizontal="right" vertical="center"/>
    </xf>
    <xf numFmtId="165" fontId="23" fillId="9" borderId="2" xfId="0" applyNumberFormat="1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left" vertical="center"/>
    </xf>
    <xf numFmtId="164" fontId="7" fillId="6" borderId="2" xfId="0" applyNumberFormat="1" applyFont="1" applyFill="1" applyBorder="1" applyAlignment="1">
      <alignment horizontal="right" vertical="center"/>
    </xf>
    <xf numFmtId="0" fontId="0" fillId="6" borderId="2" xfId="0" applyFill="1" applyBorder="1"/>
    <xf numFmtId="9" fontId="7" fillId="5" borderId="2" xfId="0" applyNumberFormat="1" applyFont="1" applyFill="1" applyBorder="1" applyAlignment="1">
      <alignment horizontal="right" vertical="center"/>
    </xf>
    <xf numFmtId="0" fontId="0" fillId="5" borderId="2" xfId="0" applyFill="1" applyBorder="1"/>
    <xf numFmtId="164" fontId="31" fillId="6" borderId="2" xfId="0" applyNumberFormat="1" applyFont="1" applyFill="1" applyBorder="1" applyAlignment="1">
      <alignment horizontal="right" vertical="center"/>
    </xf>
    <xf numFmtId="0" fontId="26" fillId="5" borderId="2" xfId="0" applyFont="1" applyFill="1" applyBorder="1" applyAlignment="1">
      <alignment horizontal="left" vertical="center" wrapText="1"/>
    </xf>
    <xf numFmtId="164" fontId="26" fillId="5" borderId="2" xfId="0" applyNumberFormat="1" applyFont="1" applyFill="1" applyBorder="1" applyAlignment="1">
      <alignment horizontal="right" vertical="center"/>
    </xf>
    <xf numFmtId="0" fontId="27" fillId="5" borderId="2" xfId="0" applyFont="1" applyFill="1" applyBorder="1" applyAlignment="1">
      <alignment horizontal="left" vertical="center" wrapText="1"/>
    </xf>
    <xf numFmtId="0" fontId="14" fillId="7" borderId="2" xfId="0" applyFont="1" applyFill="1" applyBorder="1" applyAlignment="1">
      <alignment horizontal="left" vertical="center" wrapText="1"/>
    </xf>
    <xf numFmtId="164" fontId="14" fillId="7" borderId="2" xfId="0" applyNumberFormat="1" applyFont="1" applyFill="1" applyBorder="1" applyAlignment="1">
      <alignment horizontal="right" vertical="center"/>
    </xf>
    <xf numFmtId="0" fontId="26" fillId="6" borderId="2" xfId="0" applyFont="1" applyFill="1" applyBorder="1" applyAlignment="1">
      <alignment horizontal="left" vertical="center" wrapText="1"/>
    </xf>
    <xf numFmtId="164" fontId="26" fillId="6" borderId="2" xfId="0" applyNumberFormat="1" applyFont="1" applyFill="1" applyBorder="1" applyAlignment="1">
      <alignment horizontal="right" vertical="center"/>
    </xf>
    <xf numFmtId="0" fontId="27" fillId="6" borderId="2" xfId="0" applyFont="1" applyFill="1" applyBorder="1" applyAlignment="1">
      <alignment horizontal="left" vertical="center" wrapText="1"/>
    </xf>
    <xf numFmtId="167" fontId="16" fillId="6" borderId="2" xfId="0" applyNumberFormat="1" applyFont="1" applyFill="1" applyBorder="1" applyAlignment="1">
      <alignment horizontal="right" vertical="center"/>
    </xf>
    <xf numFmtId="0" fontId="16" fillId="8" borderId="2" xfId="0" applyFont="1" applyFill="1" applyBorder="1" applyAlignment="1">
      <alignment horizontal="left" vertical="center" wrapText="1"/>
    </xf>
    <xf numFmtId="164" fontId="16" fillId="8" borderId="2" xfId="0" applyNumberFormat="1" applyFont="1" applyFill="1" applyBorder="1" applyAlignment="1">
      <alignment horizontal="right" vertical="center"/>
    </xf>
    <xf numFmtId="0" fontId="18" fillId="8" borderId="2" xfId="0" applyFont="1" applyFill="1" applyBorder="1" applyAlignment="1">
      <alignment horizontal="left" vertical="center" wrapText="1"/>
    </xf>
    <xf numFmtId="0" fontId="16" fillId="5" borderId="2" xfId="0" applyFont="1" applyFill="1" applyBorder="1" applyAlignment="1">
      <alignment horizontal="left" vertical="center"/>
    </xf>
    <xf numFmtId="0" fontId="16" fillId="5" borderId="2" xfId="0" applyFont="1" applyFill="1" applyBorder="1" applyAlignment="1">
      <alignment horizontal="center" vertical="center" wrapText="1"/>
    </xf>
    <xf numFmtId="167" fontId="16" fillId="5" borderId="2" xfId="0" applyNumberFormat="1" applyFont="1" applyFill="1" applyBorder="1" applyAlignment="1">
      <alignment horizontal="right" vertical="center"/>
    </xf>
    <xf numFmtId="0" fontId="29" fillId="5" borderId="2" xfId="0" applyFont="1" applyFill="1" applyBorder="1" applyAlignment="1">
      <alignment horizontal="left" vertical="center"/>
    </xf>
    <xf numFmtId="0" fontId="16" fillId="6" borderId="2" xfId="0" applyFont="1" applyFill="1" applyBorder="1" applyAlignment="1">
      <alignment horizontal="left" vertical="center"/>
    </xf>
    <xf numFmtId="167" fontId="23" fillId="6" borderId="2" xfId="0" applyNumberFormat="1" applyFont="1" applyFill="1" applyBorder="1" applyAlignment="1">
      <alignment horizontal="right" vertical="center"/>
    </xf>
    <xf numFmtId="0" fontId="21" fillId="6" borderId="2" xfId="0" applyFont="1" applyFill="1" applyBorder="1" applyAlignment="1">
      <alignment horizontal="center" vertical="center" wrapText="1"/>
    </xf>
    <xf numFmtId="0" fontId="29" fillId="6" borderId="2" xfId="0" applyFont="1" applyFill="1" applyBorder="1" applyAlignment="1">
      <alignment horizontal="left" vertical="center"/>
    </xf>
    <xf numFmtId="167" fontId="23" fillId="5" borderId="2" xfId="0" applyNumberFormat="1" applyFont="1" applyFill="1" applyBorder="1" applyAlignment="1">
      <alignment horizontal="right" vertical="center"/>
    </xf>
    <xf numFmtId="167" fontId="14" fillId="7" borderId="5" xfId="0" applyNumberFormat="1" applyFont="1" applyFill="1" applyBorder="1" applyAlignment="1">
      <alignment horizontal="right" vertical="center"/>
    </xf>
    <xf numFmtId="0" fontId="26" fillId="12" borderId="2" xfId="0" applyFont="1" applyFill="1" applyBorder="1" applyAlignment="1">
      <alignment horizontal="left" vertical="center"/>
    </xf>
    <xf numFmtId="0" fontId="26" fillId="12" borderId="2" xfId="0" applyFont="1" applyFill="1" applyBorder="1" applyAlignment="1">
      <alignment horizontal="center" vertical="center" wrapText="1"/>
    </xf>
    <xf numFmtId="167" fontId="26" fillId="12" borderId="2" xfId="0" applyNumberFormat="1" applyFont="1" applyFill="1" applyBorder="1" applyAlignment="1">
      <alignment horizontal="right" vertical="center"/>
    </xf>
    <xf numFmtId="0" fontId="29" fillId="12" borderId="2" xfId="0" applyFont="1" applyFill="1" applyBorder="1" applyAlignment="1">
      <alignment horizontal="left" vertical="center"/>
    </xf>
    <xf numFmtId="0" fontId="0" fillId="2" borderId="1" xfId="0" applyFill="1" applyBorder="1"/>
    <xf numFmtId="167" fontId="6" fillId="2" borderId="1" xfId="0" applyNumberFormat="1" applyFont="1" applyFill="1" applyBorder="1" applyAlignment="1">
      <alignment horizontal="right" vertical="center"/>
    </xf>
    <xf numFmtId="44" fontId="0" fillId="0" borderId="0" xfId="0" applyNumberFormat="1"/>
    <xf numFmtId="0" fontId="33" fillId="12" borderId="2" xfId="0" applyFont="1" applyFill="1" applyBorder="1" applyAlignment="1">
      <alignment horizontal="left" vertical="center"/>
    </xf>
    <xf numFmtId="0" fontId="35" fillId="12" borderId="2" xfId="0" applyFont="1" applyFill="1" applyBorder="1" applyAlignment="1">
      <alignment horizontal="center" vertical="center"/>
    </xf>
    <xf numFmtId="168" fontId="34" fillId="12" borderId="2" xfId="1" applyNumberFormat="1" applyFont="1" applyFill="1" applyBorder="1" applyAlignment="1">
      <alignment horizontal="right" vertical="center"/>
    </xf>
    <xf numFmtId="0" fontId="26" fillId="12" borderId="2" xfId="0" applyFont="1" applyFill="1" applyBorder="1" applyAlignment="1">
      <alignment horizontal="center" vertical="center"/>
    </xf>
    <xf numFmtId="0" fontId="34" fillId="12" borderId="2" xfId="0" applyFont="1" applyFill="1" applyBorder="1" applyAlignment="1">
      <alignment horizontal="left" vertical="center"/>
    </xf>
    <xf numFmtId="0" fontId="36" fillId="6" borderId="2" xfId="0" applyFont="1" applyFill="1" applyBorder="1" applyAlignment="1">
      <alignment horizontal="left" vertical="center"/>
    </xf>
    <xf numFmtId="0" fontId="36" fillId="5" borderId="2" xfId="0" applyFont="1" applyFill="1" applyBorder="1" applyAlignment="1">
      <alignment horizontal="left" vertical="center"/>
    </xf>
    <xf numFmtId="0" fontId="36" fillId="6" borderId="2" xfId="0" applyFont="1" applyFill="1" applyBorder="1" applyAlignment="1">
      <alignment horizontal="left" vertical="center" wrapText="1"/>
    </xf>
    <xf numFmtId="9" fontId="0" fillId="0" borderId="0" xfId="2" applyFont="1"/>
    <xf numFmtId="1" fontId="7" fillId="6" borderId="2" xfId="0" applyNumberFormat="1" applyFont="1" applyFill="1" applyBorder="1" applyAlignment="1">
      <alignment horizontal="right" vertical="center"/>
    </xf>
    <xf numFmtId="165" fontId="13" fillId="4" borderId="2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7" fillId="5" borderId="3" xfId="0" applyFont="1" applyFill="1" applyBorder="1" applyAlignment="1">
      <alignment horizontal="left" vertical="center" wrapText="1"/>
    </xf>
    <xf numFmtId="164" fontId="11" fillId="9" borderId="11" xfId="0" applyNumberFormat="1" applyFont="1" applyFill="1" applyBorder="1" applyAlignment="1">
      <alignment horizontal="right" vertical="center"/>
    </xf>
    <xf numFmtId="0" fontId="10" fillId="8" borderId="12" xfId="0" applyFont="1" applyFill="1" applyBorder="1" applyAlignment="1">
      <alignment vertical="center"/>
    </xf>
    <xf numFmtId="0" fontId="5" fillId="4" borderId="0" xfId="0" applyFont="1" applyFill="1" applyAlignment="1">
      <alignment horizontal="center" vertical="center" wrapText="1"/>
    </xf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4" fillId="7" borderId="5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18" fillId="4" borderId="0" xfId="0" applyFont="1" applyFill="1" applyAlignment="1">
      <alignment horizontal="left" vertical="center"/>
    </xf>
    <xf numFmtId="0" fontId="4" fillId="11" borderId="5" xfId="0" applyFont="1" applyFill="1" applyBorder="1" applyAlignment="1">
      <alignment horizontal="left" vertical="center"/>
    </xf>
    <xf numFmtId="0" fontId="24" fillId="2" borderId="0" xfId="0" applyFont="1" applyFill="1" applyAlignment="1">
      <alignment horizontal="center" vertical="center" wrapText="1"/>
    </xf>
    <xf numFmtId="0" fontId="4" fillId="10" borderId="9" xfId="0" applyFont="1" applyFill="1" applyBorder="1" applyAlignment="1">
      <alignment horizontal="left" vertical="center"/>
    </xf>
    <xf numFmtId="0" fontId="24" fillId="10" borderId="0" xfId="0" applyFont="1" applyFill="1" applyAlignment="1">
      <alignment horizontal="center" vertical="center" wrapText="1"/>
    </xf>
    <xf numFmtId="0" fontId="18" fillId="1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30" fillId="2" borderId="0" xfId="0" applyFont="1" applyFill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A2D91"/>
  </sheetPr>
  <dimension ref="B1:J39"/>
  <sheetViews>
    <sheetView showGridLines="0" tabSelected="1" topLeftCell="A9" workbookViewId="0">
      <selection activeCell="N31" sqref="N31"/>
    </sheetView>
  </sheetViews>
  <sheetFormatPr defaultRowHeight="14.4" x14ac:dyDescent="0.3"/>
  <cols>
    <col min="1" max="1" width="2.77734375" customWidth="1"/>
    <col min="2" max="2" width="39.21875" customWidth="1"/>
    <col min="3" max="3" width="3" customWidth="1"/>
    <col min="4" max="9" width="16" customWidth="1"/>
  </cols>
  <sheetData>
    <row r="1" spans="2:10" x14ac:dyDescent="0.3">
      <c r="B1" s="130" t="s">
        <v>0</v>
      </c>
      <c r="C1" s="127"/>
      <c r="D1" s="127"/>
      <c r="E1" s="127"/>
      <c r="F1" s="127"/>
      <c r="G1" s="127"/>
      <c r="H1" s="127"/>
      <c r="I1" s="127"/>
    </row>
    <row r="2" spans="2:10" x14ac:dyDescent="0.3">
      <c r="B2" s="128" t="s">
        <v>1</v>
      </c>
      <c r="C2" s="127"/>
      <c r="D2" s="127"/>
      <c r="E2" s="127"/>
      <c r="F2" s="127"/>
      <c r="G2" s="127"/>
      <c r="H2" s="127"/>
      <c r="I2" s="127"/>
    </row>
    <row r="3" spans="2:10" x14ac:dyDescent="0.3">
      <c r="B3" s="132" t="s">
        <v>357</v>
      </c>
      <c r="C3" s="127"/>
      <c r="D3" s="127"/>
      <c r="E3" s="127"/>
      <c r="F3" s="127"/>
      <c r="G3" s="127"/>
      <c r="H3" s="127"/>
      <c r="I3" s="127"/>
    </row>
    <row r="5" spans="2:10" ht="24" x14ac:dyDescent="0.3">
      <c r="B5" s="1"/>
      <c r="C5" s="1"/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</row>
    <row r="6" spans="2:10" ht="19.2" x14ac:dyDescent="0.3">
      <c r="B6" s="3"/>
      <c r="C6" s="3"/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</row>
    <row r="7" spans="2:10" x14ac:dyDescent="0.3">
      <c r="B7" s="5"/>
      <c r="C7" s="5"/>
      <c r="D7" s="5"/>
      <c r="E7" s="5"/>
      <c r="F7" s="5"/>
      <c r="G7" s="5"/>
      <c r="H7" s="5"/>
      <c r="I7" s="5"/>
      <c r="J7" s="5"/>
    </row>
    <row r="8" spans="2:10" x14ac:dyDescent="0.3">
      <c r="B8" s="131" t="s">
        <v>14</v>
      </c>
      <c r="C8" s="127"/>
      <c r="D8" s="127"/>
      <c r="E8" s="127"/>
      <c r="F8" s="127"/>
      <c r="G8" s="127"/>
      <c r="H8" s="127"/>
      <c r="I8" s="127"/>
    </row>
    <row r="9" spans="2:10" x14ac:dyDescent="0.3">
      <c r="B9" s="7" t="s">
        <v>15</v>
      </c>
      <c r="C9" s="8"/>
      <c r="D9" s="9">
        <v>353800</v>
      </c>
      <c r="E9" s="9">
        <v>628500</v>
      </c>
      <c r="F9" s="9">
        <f>'Revenue Detail'!D21</f>
        <v>1111470</v>
      </c>
      <c r="G9" s="9">
        <f>'Revenue Detail'!E21</f>
        <v>1468750</v>
      </c>
      <c r="H9" s="9">
        <f>'Revenue Detail'!F21</f>
        <v>1730950</v>
      </c>
      <c r="I9" s="9">
        <f>'Revenue Detail'!G21</f>
        <v>2016550</v>
      </c>
    </row>
    <row r="10" spans="2:10" x14ac:dyDescent="0.3">
      <c r="B10" s="10" t="s">
        <v>16</v>
      </c>
      <c r="C10" s="5"/>
      <c r="D10" s="11">
        <v>911040</v>
      </c>
      <c r="E10" s="11">
        <f>'Revenue Detail'!C11</f>
        <v>911040</v>
      </c>
      <c r="F10" s="11">
        <f>'Revenue Detail'!D11</f>
        <v>1006592</v>
      </c>
      <c r="G10" s="11">
        <f>'Revenue Detail'!E11</f>
        <v>1016552</v>
      </c>
      <c r="H10" s="11">
        <f>'Revenue Detail'!F11</f>
        <v>1016552</v>
      </c>
      <c r="I10" s="11">
        <f>'Revenue Detail'!G11</f>
        <v>1026552</v>
      </c>
    </row>
    <row r="11" spans="2:10" x14ac:dyDescent="0.3">
      <c r="B11" s="7" t="s">
        <v>17</v>
      </c>
      <c r="C11" s="8"/>
      <c r="D11" s="9">
        <v>1287354</v>
      </c>
      <c r="E11" s="9">
        <f>'Revenue Detail'!C27</f>
        <v>830376</v>
      </c>
      <c r="F11" s="9">
        <f>'Revenue Detail'!D27</f>
        <v>894400</v>
      </c>
      <c r="G11" s="9">
        <f>'Revenue Detail'!E27</f>
        <v>940800</v>
      </c>
      <c r="H11" s="9">
        <f>'Revenue Detail'!F27</f>
        <v>987200</v>
      </c>
      <c r="I11" s="9">
        <f>'Revenue Detail'!G27</f>
        <v>1033600</v>
      </c>
    </row>
    <row r="12" spans="2:10" ht="26.4" x14ac:dyDescent="0.3">
      <c r="B12" s="123" t="s">
        <v>356</v>
      </c>
      <c r="C12" s="5"/>
      <c r="D12" s="11">
        <v>47000</v>
      </c>
      <c r="E12" s="11">
        <v>47000</v>
      </c>
      <c r="F12" s="11">
        <f>E12*1.03</f>
        <v>48410</v>
      </c>
      <c r="G12" s="11">
        <f t="shared" ref="G12:I12" si="0">F12*1.03</f>
        <v>49862.3</v>
      </c>
      <c r="H12" s="11">
        <f t="shared" si="0"/>
        <v>51358.169000000002</v>
      </c>
      <c r="I12" s="11">
        <f t="shared" si="0"/>
        <v>52898.914070000006</v>
      </c>
    </row>
    <row r="13" spans="2:10" x14ac:dyDescent="0.3">
      <c r="B13" s="7" t="s">
        <v>355</v>
      </c>
      <c r="C13" s="8"/>
      <c r="D13" s="9">
        <v>0</v>
      </c>
      <c r="E13" s="9">
        <v>200000</v>
      </c>
      <c r="F13" s="9">
        <f>E13*1.03</f>
        <v>206000</v>
      </c>
      <c r="G13" s="9">
        <f t="shared" ref="G13:I13" si="1">F13*1.03</f>
        <v>212180</v>
      </c>
      <c r="H13" s="9">
        <f t="shared" si="1"/>
        <v>218545.4</v>
      </c>
      <c r="I13" s="9">
        <f t="shared" si="1"/>
        <v>225101.76199999999</v>
      </c>
    </row>
    <row r="14" spans="2:10" x14ac:dyDescent="0.3">
      <c r="B14" s="7" t="s">
        <v>19</v>
      </c>
      <c r="C14" s="8"/>
      <c r="D14" s="9">
        <v>1000</v>
      </c>
      <c r="E14" s="9">
        <v>75000</v>
      </c>
      <c r="F14" s="9">
        <f>E14*1.03</f>
        <v>77250</v>
      </c>
      <c r="G14" s="9">
        <f t="shared" ref="G14:I14" si="2">F14*1.03</f>
        <v>79567.5</v>
      </c>
      <c r="H14" s="9">
        <f t="shared" si="2"/>
        <v>81954.525000000009</v>
      </c>
      <c r="I14" s="9">
        <f t="shared" si="2"/>
        <v>84413.16075000001</v>
      </c>
    </row>
    <row r="15" spans="2:10" x14ac:dyDescent="0.3">
      <c r="B15" s="10" t="s">
        <v>20</v>
      </c>
      <c r="C15" s="5"/>
      <c r="D15" s="12">
        <v>-34597</v>
      </c>
      <c r="E15" s="11">
        <v>23698</v>
      </c>
      <c r="F15" s="11">
        <v>23698</v>
      </c>
      <c r="G15" s="11">
        <v>23698</v>
      </c>
      <c r="H15" s="11">
        <v>23698</v>
      </c>
      <c r="I15" s="11">
        <v>23698</v>
      </c>
    </row>
    <row r="16" spans="2:10" x14ac:dyDescent="0.3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3">
      <c r="B17" s="13" t="s">
        <v>21</v>
      </c>
      <c r="C17" s="14"/>
      <c r="D17" s="15">
        <v>2565597</v>
      </c>
      <c r="E17" s="15">
        <f>SUM(E9:E15)</f>
        <v>2715614</v>
      </c>
      <c r="F17" s="15">
        <v>2853590</v>
      </c>
      <c r="G17" s="15">
        <v>3092898</v>
      </c>
      <c r="H17" s="15">
        <v>3338798</v>
      </c>
      <c r="I17" s="15">
        <v>3576698</v>
      </c>
    </row>
    <row r="18" spans="2:10" x14ac:dyDescent="0.3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3">
      <c r="B19" s="131" t="s">
        <v>22</v>
      </c>
      <c r="C19" s="127"/>
      <c r="D19" s="127"/>
      <c r="E19" s="127"/>
      <c r="F19" s="127"/>
      <c r="G19" s="127"/>
      <c r="H19" s="127"/>
      <c r="I19" s="127"/>
    </row>
    <row r="20" spans="2:10" x14ac:dyDescent="0.3">
      <c r="B20" s="7" t="s">
        <v>23</v>
      </c>
      <c r="C20" s="8"/>
      <c r="D20" s="9">
        <v>1177698</v>
      </c>
      <c r="E20" s="9">
        <f>'Expense Detail'!C13</f>
        <v>1254073</v>
      </c>
      <c r="F20" s="9">
        <f>'Expense Detail'!D13</f>
        <v>1301975.3</v>
      </c>
      <c r="G20" s="9">
        <f>'Expense Detail'!E13</f>
        <v>1340951.7590000001</v>
      </c>
      <c r="H20" s="9">
        <f>'Expense Detail'!F13</f>
        <v>1381290.4117700001</v>
      </c>
      <c r="I20" s="9">
        <f>'Expense Detail'!G13</f>
        <v>1423047.4741231001</v>
      </c>
    </row>
    <row r="21" spans="2:10" x14ac:dyDescent="0.3">
      <c r="B21" s="10" t="s">
        <v>24</v>
      </c>
      <c r="C21" s="5"/>
      <c r="D21" s="11">
        <v>824315</v>
      </c>
      <c r="E21" s="11">
        <f>'Expense Detail'!C28</f>
        <v>890844.41249999998</v>
      </c>
      <c r="F21" s="11">
        <f>'Expense Detail'!D28</f>
        <v>1008501.80625</v>
      </c>
      <c r="G21" s="11">
        <f>'Expense Detail'!E28</f>
        <v>1343288.4479999999</v>
      </c>
      <c r="H21" s="11">
        <f>'Expense Detail'!F28</f>
        <v>1383784.21144</v>
      </c>
      <c r="I21" s="11">
        <f>'Expense Detail'!G28</f>
        <v>1424930.5777832</v>
      </c>
    </row>
    <row r="22" spans="2:10" x14ac:dyDescent="0.3">
      <c r="B22" s="7" t="s">
        <v>25</v>
      </c>
      <c r="C22" s="8"/>
      <c r="D22" s="9">
        <v>334733</v>
      </c>
      <c r="E22" s="9">
        <f>'Expense Detail'!C39</f>
        <v>386739</v>
      </c>
      <c r="F22" s="9">
        <f>'Expense Detail'!D39</f>
        <v>281791.55</v>
      </c>
      <c r="G22" s="9">
        <f>'Expense Detail'!E39</f>
        <v>281785.2965</v>
      </c>
      <c r="H22" s="9">
        <f>'Expense Detail'!F39</f>
        <v>294868.85539500002</v>
      </c>
      <c r="I22" s="9">
        <f>'Expense Detail'!G39</f>
        <v>305044.92105685</v>
      </c>
    </row>
    <row r="23" spans="2:10" x14ac:dyDescent="0.3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3">
      <c r="B24" s="13" t="s">
        <v>26</v>
      </c>
      <c r="C24" s="14"/>
      <c r="D24" s="15">
        <v>2336746</v>
      </c>
      <c r="E24" s="15">
        <f>SUM(E20:E22)</f>
        <v>2531656.4125000001</v>
      </c>
      <c r="F24" s="15">
        <v>2700000</v>
      </c>
      <c r="G24" s="15">
        <v>2850000</v>
      </c>
      <c r="H24" s="15">
        <v>2939700</v>
      </c>
      <c r="I24" s="15">
        <v>3029650</v>
      </c>
    </row>
    <row r="25" spans="2:10" ht="15" thickBot="1" x14ac:dyDescent="0.35">
      <c r="B25" s="5"/>
      <c r="C25" s="5"/>
      <c r="D25" s="5"/>
      <c r="E25" s="5"/>
      <c r="F25" s="5"/>
      <c r="G25" s="5"/>
      <c r="H25" s="5"/>
      <c r="I25" s="5"/>
      <c r="J25" s="5"/>
    </row>
    <row r="26" spans="2:10" ht="15" thickBot="1" x14ac:dyDescent="0.35">
      <c r="B26" s="125" t="s">
        <v>27</v>
      </c>
      <c r="D26" s="124">
        <v>228851</v>
      </c>
      <c r="E26" s="124">
        <f>E17-E24</f>
        <v>183957.58749999991</v>
      </c>
      <c r="F26" s="16">
        <v>153590</v>
      </c>
      <c r="G26" s="16">
        <v>242898</v>
      </c>
      <c r="H26" s="16">
        <v>399098</v>
      </c>
      <c r="I26" s="16">
        <v>547048</v>
      </c>
    </row>
    <row r="27" spans="2:10" x14ac:dyDescent="0.3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3">
      <c r="B28" s="17" t="s">
        <v>28</v>
      </c>
      <c r="C28" s="3"/>
      <c r="D28" s="121">
        <f>D26/D17</f>
        <v>8.9199901621338035E-2</v>
      </c>
      <c r="E28" s="121">
        <f t="shared" ref="E28:I28" si="3">E26/E17</f>
        <v>6.774069786795911E-2</v>
      </c>
      <c r="F28" s="121">
        <f t="shared" si="3"/>
        <v>5.3823429434501802E-2</v>
      </c>
      <c r="G28" s="121">
        <f t="shared" si="3"/>
        <v>7.8534112667149061E-2</v>
      </c>
      <c r="H28" s="121">
        <f t="shared" si="3"/>
        <v>0.11953343688357307</v>
      </c>
      <c r="I28" s="121">
        <f t="shared" si="3"/>
        <v>0.15294777473524462</v>
      </c>
    </row>
    <row r="29" spans="2:10" x14ac:dyDescent="0.3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3">
      <c r="B30" s="129" t="s">
        <v>29</v>
      </c>
      <c r="C30" s="127"/>
      <c r="D30" s="127"/>
      <c r="E30" s="127"/>
      <c r="F30" s="127"/>
      <c r="G30" s="127"/>
      <c r="H30" s="127"/>
      <c r="I30" s="127"/>
    </row>
    <row r="31" spans="2:10" x14ac:dyDescent="0.3">
      <c r="B31" s="19" t="s">
        <v>30</v>
      </c>
      <c r="C31" s="8"/>
      <c r="D31" s="20"/>
      <c r="E31" s="20"/>
      <c r="F31" s="21"/>
      <c r="G31" s="21"/>
      <c r="H31" s="21"/>
      <c r="I31" s="21"/>
    </row>
    <row r="32" spans="2:10" x14ac:dyDescent="0.3">
      <c r="B32" s="17" t="s">
        <v>31</v>
      </c>
    </row>
    <row r="33" spans="2:10" x14ac:dyDescent="0.3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3">
      <c r="B34" s="129" t="s">
        <v>32</v>
      </c>
      <c r="C34" s="127"/>
      <c r="D34" s="127"/>
      <c r="E34" s="127"/>
      <c r="F34" s="127"/>
      <c r="G34" s="127"/>
      <c r="H34" s="127"/>
      <c r="I34" s="127"/>
    </row>
    <row r="35" spans="2:10" x14ac:dyDescent="0.3">
      <c r="B35" s="19" t="s">
        <v>33</v>
      </c>
      <c r="C35" s="8"/>
      <c r="D35" s="22">
        <v>34</v>
      </c>
      <c r="E35" s="22">
        <v>67</v>
      </c>
      <c r="F35" s="22">
        <v>133</v>
      </c>
      <c r="G35" s="22">
        <v>150</v>
      </c>
      <c r="H35" s="22">
        <v>165</v>
      </c>
      <c r="I35" s="22">
        <v>180</v>
      </c>
    </row>
    <row r="36" spans="2:10" x14ac:dyDescent="0.3">
      <c r="B36" s="19" t="s">
        <v>34</v>
      </c>
      <c r="C36" s="8"/>
      <c r="D36" s="23" t="s">
        <v>35</v>
      </c>
      <c r="E36" s="23" t="s">
        <v>36</v>
      </c>
      <c r="F36" s="23" t="s">
        <v>37</v>
      </c>
      <c r="G36" s="23" t="s">
        <v>38</v>
      </c>
      <c r="H36" s="23" t="s">
        <v>39</v>
      </c>
      <c r="I36" s="23" t="s">
        <v>40</v>
      </c>
    </row>
    <row r="37" spans="2:10" x14ac:dyDescent="0.3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3">
      <c r="B38" s="126" t="s">
        <v>41</v>
      </c>
      <c r="C38" s="127"/>
      <c r="D38" s="127"/>
      <c r="E38" s="127"/>
      <c r="F38" s="127"/>
      <c r="G38" s="127"/>
      <c r="H38" s="127"/>
      <c r="I38" s="127"/>
    </row>
    <row r="39" spans="2:10" x14ac:dyDescent="0.3">
      <c r="B39" s="126" t="s">
        <v>42</v>
      </c>
      <c r="C39" s="127"/>
      <c r="D39" s="127"/>
      <c r="E39" s="127"/>
      <c r="F39" s="127"/>
      <c r="G39" s="127"/>
      <c r="H39" s="127"/>
      <c r="I39" s="127"/>
    </row>
  </sheetData>
  <mergeCells count="9">
    <mergeCell ref="B39:I39"/>
    <mergeCell ref="B2:I2"/>
    <mergeCell ref="B34:I34"/>
    <mergeCell ref="B1:I1"/>
    <mergeCell ref="B38:I38"/>
    <mergeCell ref="B8:I8"/>
    <mergeCell ref="B19:I19"/>
    <mergeCell ref="B3:I3"/>
    <mergeCell ref="B30:I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66E"/>
  </sheetPr>
  <dimension ref="A1:I51"/>
  <sheetViews>
    <sheetView showGridLines="0" workbookViewId="0">
      <selection sqref="A1:H1"/>
    </sheetView>
  </sheetViews>
  <sheetFormatPr defaultRowHeight="14.4" x14ac:dyDescent="0.3"/>
  <cols>
    <col min="1" max="1" width="38" customWidth="1"/>
    <col min="2" max="7" width="15" customWidth="1"/>
    <col min="8" max="8" width="31.88671875" bestFit="1" customWidth="1"/>
  </cols>
  <sheetData>
    <row r="1" spans="1:9" x14ac:dyDescent="0.3">
      <c r="A1" s="133" t="s">
        <v>43</v>
      </c>
      <c r="B1" s="127"/>
      <c r="C1" s="127"/>
      <c r="D1" s="127"/>
      <c r="E1" s="127"/>
      <c r="F1" s="127"/>
      <c r="G1" s="127"/>
      <c r="H1" s="127"/>
    </row>
    <row r="2" spans="1:9" x14ac:dyDescent="0.3">
      <c r="A2" s="136" t="s">
        <v>44</v>
      </c>
      <c r="B2" s="127"/>
      <c r="C2" s="127"/>
      <c r="D2" s="127"/>
      <c r="E2" s="127"/>
      <c r="F2" s="127"/>
      <c r="G2" s="127"/>
      <c r="H2" s="127"/>
    </row>
    <row r="4" spans="1:9" x14ac:dyDescent="0.3">
      <c r="A4" s="131" t="s">
        <v>45</v>
      </c>
      <c r="B4" s="127"/>
      <c r="C4" s="127"/>
      <c r="D4" s="127"/>
      <c r="E4" s="127"/>
      <c r="F4" s="127"/>
      <c r="G4" s="127"/>
      <c r="H4" s="127"/>
      <c r="I4" s="127"/>
    </row>
    <row r="5" spans="1:9" x14ac:dyDescent="0.3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</row>
    <row r="6" spans="1:9" ht="20.399999999999999" x14ac:dyDescent="0.3">
      <c r="A6" s="24" t="s">
        <v>54</v>
      </c>
      <c r="B6" s="25">
        <v>34</v>
      </c>
      <c r="C6" s="25">
        <v>67</v>
      </c>
      <c r="D6" s="25">
        <v>133</v>
      </c>
      <c r="E6" s="25">
        <v>150</v>
      </c>
      <c r="F6" s="25">
        <v>165</v>
      </c>
      <c r="G6" s="25">
        <v>180</v>
      </c>
      <c r="H6" s="26" t="s">
        <v>55</v>
      </c>
    </row>
    <row r="7" spans="1:9" ht="20.399999999999999" x14ac:dyDescent="0.3">
      <c r="A7" s="27" t="s">
        <v>56</v>
      </c>
      <c r="B7" s="28">
        <v>650</v>
      </c>
      <c r="C7" s="28">
        <v>650</v>
      </c>
      <c r="D7" s="28">
        <v>650</v>
      </c>
      <c r="E7" s="28">
        <v>650</v>
      </c>
      <c r="F7" s="28">
        <v>650</v>
      </c>
      <c r="G7" s="28">
        <v>650</v>
      </c>
      <c r="H7" s="29" t="s">
        <v>57</v>
      </c>
    </row>
    <row r="8" spans="1:9" ht="20.399999999999999" x14ac:dyDescent="0.3">
      <c r="A8" s="24" t="s">
        <v>58</v>
      </c>
      <c r="B8" s="30">
        <v>0.95</v>
      </c>
      <c r="C8" s="30">
        <v>0.85</v>
      </c>
      <c r="D8" s="30">
        <v>0.6</v>
      </c>
      <c r="E8" s="30">
        <v>0.5</v>
      </c>
      <c r="F8" s="30">
        <v>0.45</v>
      </c>
      <c r="G8" s="30">
        <v>0.4</v>
      </c>
      <c r="H8" s="26" t="s">
        <v>59</v>
      </c>
    </row>
    <row r="9" spans="1:9" x14ac:dyDescent="0.3">
      <c r="A9" s="27" t="s">
        <v>60</v>
      </c>
      <c r="B9" s="31">
        <v>100</v>
      </c>
      <c r="C9" s="31">
        <v>60</v>
      </c>
      <c r="D9" s="31">
        <v>65</v>
      </c>
      <c r="E9" s="31">
        <v>70</v>
      </c>
      <c r="F9" s="31">
        <v>75</v>
      </c>
      <c r="G9" s="31">
        <v>80</v>
      </c>
      <c r="H9" s="29" t="s">
        <v>61</v>
      </c>
    </row>
    <row r="10" spans="1:9" x14ac:dyDescent="0.3">
      <c r="A10" s="24" t="s">
        <v>62</v>
      </c>
      <c r="B10" s="32">
        <v>225000</v>
      </c>
      <c r="C10" s="32">
        <v>123750</v>
      </c>
      <c r="D10" s="32">
        <v>135000</v>
      </c>
      <c r="E10" s="32">
        <v>146250</v>
      </c>
      <c r="F10" s="32">
        <v>157500</v>
      </c>
      <c r="G10" s="32">
        <v>168750</v>
      </c>
      <c r="H10" s="26" t="s">
        <v>63</v>
      </c>
    </row>
    <row r="11" spans="1:9" x14ac:dyDescent="0.3">
      <c r="A11" s="27" t="s">
        <v>64</v>
      </c>
      <c r="B11" s="28">
        <v>100000</v>
      </c>
      <c r="C11" s="28">
        <v>100000</v>
      </c>
      <c r="D11" s="28">
        <v>100000</v>
      </c>
      <c r="E11" s="28">
        <v>100000</v>
      </c>
      <c r="F11" s="28">
        <v>100000</v>
      </c>
      <c r="G11" s="28">
        <v>100000</v>
      </c>
      <c r="H11" s="29" t="s">
        <v>65</v>
      </c>
    </row>
    <row r="13" spans="1:9" x14ac:dyDescent="0.3">
      <c r="A13" s="135" t="s">
        <v>66</v>
      </c>
      <c r="B13" s="127"/>
      <c r="C13" s="127"/>
      <c r="D13" s="127"/>
      <c r="E13" s="127"/>
      <c r="F13" s="127"/>
      <c r="G13" s="127"/>
      <c r="H13" s="127"/>
      <c r="I13" s="127"/>
    </row>
    <row r="14" spans="1:9" x14ac:dyDescent="0.3">
      <c r="A14" s="2" t="s">
        <v>46</v>
      </c>
      <c r="B14" s="2" t="s">
        <v>47</v>
      </c>
      <c r="C14" s="2" t="s">
        <v>48</v>
      </c>
      <c r="D14" s="2" t="s">
        <v>49</v>
      </c>
      <c r="E14" s="2" t="s">
        <v>50</v>
      </c>
      <c r="F14" s="2" t="s">
        <v>51</v>
      </c>
      <c r="G14" s="2" t="s">
        <v>52</v>
      </c>
      <c r="H14" s="2" t="s">
        <v>53</v>
      </c>
    </row>
    <row r="15" spans="1:9" ht="20.399999999999999" x14ac:dyDescent="0.3">
      <c r="A15" s="27" t="s">
        <v>67</v>
      </c>
      <c r="B15" s="33">
        <v>0.75</v>
      </c>
      <c r="C15" s="33">
        <v>0.75</v>
      </c>
      <c r="D15" s="33">
        <v>0.8</v>
      </c>
      <c r="E15" s="33">
        <v>0.85</v>
      </c>
      <c r="F15" s="33">
        <v>0.9</v>
      </c>
      <c r="G15" s="33">
        <v>0.95</v>
      </c>
      <c r="H15" s="29" t="s">
        <v>68</v>
      </c>
    </row>
    <row r="16" spans="1:9" ht="22.8" x14ac:dyDescent="0.3">
      <c r="A16" s="24" t="s">
        <v>350</v>
      </c>
      <c r="B16" s="32">
        <v>928000</v>
      </c>
      <c r="C16" s="32">
        <v>928000</v>
      </c>
      <c r="D16" s="32">
        <v>928000</v>
      </c>
      <c r="E16" s="32">
        <v>928000</v>
      </c>
      <c r="F16" s="32">
        <v>928000</v>
      </c>
      <c r="G16" s="32">
        <v>928000</v>
      </c>
      <c r="H16" s="26" t="s">
        <v>70</v>
      </c>
    </row>
    <row r="17" spans="1:9" ht="22.8" x14ac:dyDescent="0.3">
      <c r="A17" s="27" t="s">
        <v>71</v>
      </c>
      <c r="B17" s="28">
        <v>1240000</v>
      </c>
      <c r="C17" s="28">
        <v>696000</v>
      </c>
      <c r="D17" s="28">
        <v>742400</v>
      </c>
      <c r="E17" s="28">
        <v>788800</v>
      </c>
      <c r="F17" s="28">
        <v>835200</v>
      </c>
      <c r="G17" s="28">
        <v>881600</v>
      </c>
      <c r="H17" s="29" t="s">
        <v>72</v>
      </c>
    </row>
    <row r="18" spans="1:9" ht="30.6" x14ac:dyDescent="0.3">
      <c r="A18" s="24" t="s">
        <v>73</v>
      </c>
      <c r="B18" s="32">
        <v>35354</v>
      </c>
      <c r="C18" s="32">
        <v>122376</v>
      </c>
      <c r="D18" s="32">
        <v>140000</v>
      </c>
      <c r="E18" s="32">
        <v>140000</v>
      </c>
      <c r="F18" s="32">
        <v>140000</v>
      </c>
      <c r="G18" s="32">
        <v>140000</v>
      </c>
      <c r="H18" s="26" t="s">
        <v>74</v>
      </c>
    </row>
    <row r="19" spans="1:9" x14ac:dyDescent="0.3">
      <c r="A19" s="27" t="s">
        <v>75</v>
      </c>
      <c r="B19" s="28">
        <v>12000</v>
      </c>
      <c r="C19" s="28">
        <v>12000</v>
      </c>
      <c r="D19" s="28">
        <v>12000</v>
      </c>
      <c r="E19" s="28">
        <v>12000</v>
      </c>
      <c r="F19" s="28">
        <v>12000</v>
      </c>
      <c r="G19" s="28">
        <v>12000</v>
      </c>
      <c r="H19" s="29" t="s">
        <v>76</v>
      </c>
    </row>
    <row r="21" spans="1:9" x14ac:dyDescent="0.3">
      <c r="A21" s="131" t="s">
        <v>77</v>
      </c>
      <c r="B21" s="127"/>
      <c r="C21" s="127"/>
      <c r="D21" s="127"/>
      <c r="E21" s="127"/>
      <c r="F21" s="127"/>
      <c r="G21" s="127"/>
      <c r="H21" s="127"/>
      <c r="I21" s="127"/>
    </row>
    <row r="22" spans="1:9" x14ac:dyDescent="0.3">
      <c r="A22" s="2" t="s">
        <v>46</v>
      </c>
      <c r="B22" s="2" t="s">
        <v>47</v>
      </c>
      <c r="C22" s="2" t="s">
        <v>48</v>
      </c>
      <c r="D22" s="2" t="s">
        <v>49</v>
      </c>
      <c r="E22" s="2" t="s">
        <v>50</v>
      </c>
      <c r="F22" s="2" t="s">
        <v>51</v>
      </c>
      <c r="G22" s="2" t="s">
        <v>52</v>
      </c>
      <c r="H22" s="2" t="s">
        <v>53</v>
      </c>
    </row>
    <row r="23" spans="1:9" x14ac:dyDescent="0.3">
      <c r="A23" s="27" t="s">
        <v>78</v>
      </c>
      <c r="B23" s="28">
        <v>180000</v>
      </c>
      <c r="C23" s="28">
        <v>180000</v>
      </c>
      <c r="D23" s="28">
        <v>180000</v>
      </c>
      <c r="E23" s="28">
        <v>180000</v>
      </c>
      <c r="F23" s="28">
        <v>180000</v>
      </c>
      <c r="G23" s="28">
        <v>180000</v>
      </c>
      <c r="H23" s="29" t="s">
        <v>79</v>
      </c>
    </row>
    <row r="24" spans="1:9" x14ac:dyDescent="0.3">
      <c r="A24" s="24" t="s">
        <v>80</v>
      </c>
      <c r="B24" s="32">
        <v>250000</v>
      </c>
      <c r="C24" s="32">
        <v>250000</v>
      </c>
      <c r="D24" s="32">
        <v>250000</v>
      </c>
      <c r="E24" s="32">
        <v>250000</v>
      </c>
      <c r="F24" s="32">
        <v>250000</v>
      </c>
      <c r="G24" s="32">
        <v>250000</v>
      </c>
      <c r="H24" s="26" t="s">
        <v>81</v>
      </c>
    </row>
    <row r="25" spans="1:9" x14ac:dyDescent="0.3">
      <c r="A25" s="27" t="s">
        <v>82</v>
      </c>
      <c r="B25" s="28">
        <v>100000</v>
      </c>
      <c r="C25" s="28">
        <v>100000</v>
      </c>
      <c r="D25" s="28">
        <v>100000</v>
      </c>
      <c r="E25" s="28">
        <v>100000</v>
      </c>
      <c r="F25" s="28">
        <v>100000</v>
      </c>
      <c r="G25" s="28">
        <v>100000</v>
      </c>
      <c r="H25" s="29" t="s">
        <v>83</v>
      </c>
    </row>
    <row r="26" spans="1:9" x14ac:dyDescent="0.3">
      <c r="A26" s="24" t="s">
        <v>84</v>
      </c>
      <c r="B26" s="32">
        <v>70000</v>
      </c>
      <c r="C26" s="32">
        <v>70000</v>
      </c>
      <c r="D26" s="32">
        <v>70000</v>
      </c>
      <c r="E26" s="32">
        <v>70000</v>
      </c>
      <c r="F26" s="32">
        <v>70000</v>
      </c>
      <c r="G26" s="32">
        <v>70000</v>
      </c>
      <c r="H26" s="26" t="s">
        <v>85</v>
      </c>
    </row>
    <row r="27" spans="1:9" x14ac:dyDescent="0.3">
      <c r="A27" s="27" t="s">
        <v>86</v>
      </c>
      <c r="B27" s="28">
        <v>194040</v>
      </c>
      <c r="C27" s="28">
        <v>194040</v>
      </c>
      <c r="D27" s="28">
        <v>194040</v>
      </c>
      <c r="E27" s="28">
        <v>204000</v>
      </c>
      <c r="F27" s="28">
        <v>204000</v>
      </c>
      <c r="G27" s="28">
        <v>214000</v>
      </c>
      <c r="H27" s="29" t="s">
        <v>87</v>
      </c>
    </row>
    <row r="28" spans="1:9" ht="20.399999999999999" x14ac:dyDescent="0.3">
      <c r="A28" s="24" t="s">
        <v>88</v>
      </c>
      <c r="B28" s="32">
        <v>117000</v>
      </c>
      <c r="C28" s="32">
        <v>117000</v>
      </c>
      <c r="D28" s="32">
        <v>212552</v>
      </c>
      <c r="E28" s="32">
        <v>212552</v>
      </c>
      <c r="F28" s="32">
        <v>212552</v>
      </c>
      <c r="G28" s="32">
        <v>212552</v>
      </c>
      <c r="H28" s="26" t="s">
        <v>89</v>
      </c>
    </row>
    <row r="30" spans="1:9" x14ac:dyDescent="0.3">
      <c r="A30" s="131" t="s">
        <v>90</v>
      </c>
      <c r="B30" s="127"/>
      <c r="C30" s="127"/>
      <c r="D30" s="127"/>
      <c r="E30" s="127"/>
      <c r="F30" s="127"/>
      <c r="G30" s="127"/>
      <c r="H30" s="127"/>
      <c r="I30" s="127"/>
    </row>
    <row r="31" spans="1:9" x14ac:dyDescent="0.3">
      <c r="A31" s="2" t="s">
        <v>46</v>
      </c>
      <c r="B31" s="2" t="s">
        <v>47</v>
      </c>
      <c r="C31" s="2" t="s">
        <v>48</v>
      </c>
      <c r="D31" s="2" t="s">
        <v>49</v>
      </c>
      <c r="E31" s="2" t="s">
        <v>50</v>
      </c>
      <c r="F31" s="2" t="s">
        <v>51</v>
      </c>
      <c r="G31" s="2" t="s">
        <v>52</v>
      </c>
      <c r="H31" s="2" t="s">
        <v>53</v>
      </c>
    </row>
    <row r="32" spans="1:9" x14ac:dyDescent="0.3">
      <c r="A32" s="24" t="s">
        <v>91</v>
      </c>
      <c r="B32" s="32">
        <v>-34597</v>
      </c>
      <c r="C32" s="32">
        <v>23698</v>
      </c>
      <c r="D32" s="32">
        <f>C32*1.03</f>
        <v>24408.940000000002</v>
      </c>
      <c r="E32" s="32">
        <f t="shared" ref="E32:G32" si="0">D32*1.03</f>
        <v>25141.208200000005</v>
      </c>
      <c r="F32" s="32">
        <f t="shared" si="0"/>
        <v>25895.444446000005</v>
      </c>
      <c r="G32" s="32">
        <f t="shared" si="0"/>
        <v>26672.307779380008</v>
      </c>
      <c r="H32" s="26" t="s">
        <v>92</v>
      </c>
    </row>
    <row r="33" spans="1:9" x14ac:dyDescent="0.3">
      <c r="A33" s="27" t="s">
        <v>358</v>
      </c>
      <c r="B33" s="28">
        <v>47000</v>
      </c>
      <c r="C33" s="28">
        <v>47000</v>
      </c>
      <c r="D33" s="28">
        <v>47000</v>
      </c>
      <c r="E33" s="28">
        <v>47000</v>
      </c>
      <c r="F33" s="28">
        <v>47000</v>
      </c>
      <c r="G33" s="28">
        <v>47000</v>
      </c>
      <c r="H33" s="29" t="s">
        <v>93</v>
      </c>
    </row>
    <row r="34" spans="1:9" x14ac:dyDescent="0.3">
      <c r="A34" s="27" t="s">
        <v>354</v>
      </c>
      <c r="B34" s="28">
        <v>0</v>
      </c>
      <c r="C34" s="28">
        <v>200000</v>
      </c>
      <c r="D34" s="28">
        <f>C34*1.03</f>
        <v>206000</v>
      </c>
      <c r="E34" s="28">
        <f t="shared" ref="E34:G34" si="1">D34*1.03</f>
        <v>212180</v>
      </c>
      <c r="F34" s="28">
        <f t="shared" si="1"/>
        <v>218545.4</v>
      </c>
      <c r="G34" s="28">
        <f t="shared" si="1"/>
        <v>225101.76199999999</v>
      </c>
      <c r="H34" s="29"/>
    </row>
    <row r="35" spans="1:9" x14ac:dyDescent="0.3">
      <c r="A35" s="24" t="s">
        <v>94</v>
      </c>
      <c r="B35" s="32">
        <v>1000</v>
      </c>
      <c r="C35" s="32">
        <v>75000</v>
      </c>
      <c r="D35" s="32">
        <f>C35*1.03</f>
        <v>77250</v>
      </c>
      <c r="E35" s="32">
        <f t="shared" ref="E35:G35" si="2">D35*1.03</f>
        <v>79567.5</v>
      </c>
      <c r="F35" s="32">
        <f t="shared" si="2"/>
        <v>81954.525000000009</v>
      </c>
      <c r="G35" s="32">
        <f t="shared" si="2"/>
        <v>84413.16075000001</v>
      </c>
      <c r="H35" s="26" t="s">
        <v>95</v>
      </c>
    </row>
    <row r="37" spans="1:9" x14ac:dyDescent="0.3">
      <c r="A37" s="134" t="s">
        <v>96</v>
      </c>
      <c r="B37" s="127"/>
      <c r="C37" s="127"/>
      <c r="D37" s="127"/>
      <c r="E37" s="127"/>
      <c r="F37" s="127"/>
      <c r="G37" s="127"/>
      <c r="H37" s="127"/>
      <c r="I37" s="127"/>
    </row>
    <row r="38" spans="1:9" x14ac:dyDescent="0.3">
      <c r="A38" s="2" t="s">
        <v>46</v>
      </c>
      <c r="B38" s="2" t="s">
        <v>47</v>
      </c>
      <c r="C38" s="2" t="s">
        <v>48</v>
      </c>
      <c r="D38" s="2" t="s">
        <v>49</v>
      </c>
      <c r="E38" s="2" t="s">
        <v>50</v>
      </c>
      <c r="F38" s="2" t="s">
        <v>51</v>
      </c>
      <c r="G38" s="2" t="s">
        <v>52</v>
      </c>
      <c r="H38" s="2" t="s">
        <v>53</v>
      </c>
    </row>
    <row r="39" spans="1:9" x14ac:dyDescent="0.3">
      <c r="A39" s="24" t="s">
        <v>97</v>
      </c>
      <c r="B39" s="30">
        <v>0.03</v>
      </c>
      <c r="C39" s="30">
        <v>0.03</v>
      </c>
      <c r="D39" s="30">
        <v>0.03</v>
      </c>
      <c r="E39" s="30">
        <v>0.03</v>
      </c>
      <c r="F39" s="30">
        <v>0.03</v>
      </c>
      <c r="G39" s="30">
        <v>0.03</v>
      </c>
      <c r="H39" s="26" t="s">
        <v>98</v>
      </c>
    </row>
    <row r="40" spans="1:9" x14ac:dyDescent="0.3">
      <c r="A40" s="27" t="s">
        <v>99</v>
      </c>
      <c r="B40" s="28">
        <v>866645</v>
      </c>
      <c r="C40" s="28">
        <f>B40/2</f>
        <v>433322.5</v>
      </c>
      <c r="D40" s="28">
        <v>0</v>
      </c>
      <c r="E40" s="28">
        <v>0</v>
      </c>
      <c r="F40" s="28">
        <v>0</v>
      </c>
      <c r="G40" s="28">
        <v>0</v>
      </c>
      <c r="H40" s="29" t="s">
        <v>100</v>
      </c>
    </row>
    <row r="41" spans="1:9" x14ac:dyDescent="0.3">
      <c r="A41" s="24" t="s">
        <v>101</v>
      </c>
      <c r="B41" s="32">
        <f>B40*0.085</f>
        <v>73664.825000000012</v>
      </c>
      <c r="C41" s="32">
        <f>C40*0.085</f>
        <v>36832.412500000006</v>
      </c>
      <c r="D41" s="32">
        <f>C41/2</f>
        <v>18416.206250000003</v>
      </c>
      <c r="E41" s="32">
        <f t="shared" ref="E41:G41" si="3">E40*0.085</f>
        <v>0</v>
      </c>
      <c r="F41" s="32">
        <f t="shared" si="3"/>
        <v>0</v>
      </c>
      <c r="G41" s="32">
        <f t="shared" si="3"/>
        <v>0</v>
      </c>
      <c r="H41" s="26" t="s">
        <v>102</v>
      </c>
    </row>
    <row r="42" spans="1:9" x14ac:dyDescent="0.3">
      <c r="A42" s="27" t="s">
        <v>103</v>
      </c>
      <c r="B42" s="28">
        <v>175000</v>
      </c>
      <c r="C42" s="28">
        <v>100000</v>
      </c>
      <c r="D42" s="28">
        <v>100000</v>
      </c>
      <c r="E42" s="28">
        <v>100000</v>
      </c>
      <c r="F42" s="28">
        <v>100000</v>
      </c>
      <c r="G42" s="28">
        <v>100000</v>
      </c>
      <c r="H42" s="29" t="s">
        <v>104</v>
      </c>
    </row>
    <row r="44" spans="1:9" x14ac:dyDescent="0.3">
      <c r="A44" s="134" t="s">
        <v>105</v>
      </c>
      <c r="B44" s="127"/>
      <c r="C44" s="127"/>
      <c r="D44" s="127"/>
      <c r="E44" s="127"/>
      <c r="F44" s="127"/>
      <c r="G44" s="127"/>
      <c r="H44" s="127"/>
      <c r="I44" s="127"/>
    </row>
    <row r="45" spans="1:9" x14ac:dyDescent="0.3">
      <c r="A45" s="2" t="s">
        <v>46</v>
      </c>
      <c r="B45" s="2" t="s">
        <v>47</v>
      </c>
      <c r="C45" s="2" t="s">
        <v>48</v>
      </c>
      <c r="D45" s="2" t="s">
        <v>49</v>
      </c>
      <c r="E45" s="2" t="s">
        <v>50</v>
      </c>
      <c r="F45" s="2" t="s">
        <v>51</v>
      </c>
      <c r="G45" s="2" t="s">
        <v>52</v>
      </c>
      <c r="H45" s="2" t="s">
        <v>53</v>
      </c>
    </row>
    <row r="46" spans="1:9" x14ac:dyDescent="0.3">
      <c r="A46" s="34" t="s">
        <v>106</v>
      </c>
      <c r="B46" s="35" t="s">
        <v>107</v>
      </c>
      <c r="C46" s="35" t="s">
        <v>107</v>
      </c>
      <c r="D46" s="35" t="s">
        <v>107</v>
      </c>
      <c r="E46" s="35" t="s">
        <v>107</v>
      </c>
      <c r="F46" s="35" t="s">
        <v>107</v>
      </c>
      <c r="G46" s="35" t="s">
        <v>107</v>
      </c>
      <c r="H46" s="29" t="s">
        <v>108</v>
      </c>
    </row>
    <row r="47" spans="1:9" ht="20.399999999999999" x14ac:dyDescent="0.3">
      <c r="A47" s="36" t="s">
        <v>109</v>
      </c>
      <c r="B47" s="37" t="s">
        <v>110</v>
      </c>
      <c r="C47" s="37" t="s">
        <v>110</v>
      </c>
      <c r="D47" s="38" t="s">
        <v>111</v>
      </c>
      <c r="E47" s="38" t="s">
        <v>111</v>
      </c>
      <c r="F47" s="38" t="s">
        <v>111</v>
      </c>
      <c r="G47" s="38" t="s">
        <v>111</v>
      </c>
      <c r="H47" s="26" t="s">
        <v>112</v>
      </c>
    </row>
    <row r="48" spans="1:9" ht="20.399999999999999" x14ac:dyDescent="0.3">
      <c r="A48" s="34" t="s">
        <v>113</v>
      </c>
      <c r="B48" s="39" t="s">
        <v>111</v>
      </c>
      <c r="C48" s="40" t="s">
        <v>114</v>
      </c>
      <c r="D48" s="35" t="s">
        <v>107</v>
      </c>
      <c r="E48" s="35" t="s">
        <v>107</v>
      </c>
      <c r="F48" s="35" t="s">
        <v>107</v>
      </c>
      <c r="G48" s="35" t="s">
        <v>107</v>
      </c>
      <c r="H48" s="29" t="s">
        <v>115</v>
      </c>
    </row>
    <row r="49" spans="1:8" ht="20.399999999999999" x14ac:dyDescent="0.3">
      <c r="A49" s="36" t="s">
        <v>116</v>
      </c>
      <c r="B49" s="37" t="s">
        <v>117</v>
      </c>
      <c r="C49" s="38" t="s">
        <v>111</v>
      </c>
      <c r="D49" s="38" t="s">
        <v>111</v>
      </c>
      <c r="E49" s="38" t="s">
        <v>111</v>
      </c>
      <c r="F49" s="38" t="s">
        <v>111</v>
      </c>
      <c r="G49" s="38" t="s">
        <v>111</v>
      </c>
      <c r="H49" s="26" t="s">
        <v>118</v>
      </c>
    </row>
    <row r="50" spans="1:8" ht="20.399999999999999" x14ac:dyDescent="0.3">
      <c r="A50" s="34" t="s">
        <v>119</v>
      </c>
      <c r="B50" s="40" t="s">
        <v>110</v>
      </c>
      <c r="C50" s="40" t="s">
        <v>110</v>
      </c>
      <c r="D50" s="40" t="s">
        <v>120</v>
      </c>
      <c r="E50" s="39" t="s">
        <v>111</v>
      </c>
      <c r="F50" s="39" t="s">
        <v>111</v>
      </c>
      <c r="G50" s="39" t="s">
        <v>111</v>
      </c>
      <c r="H50" s="29" t="s">
        <v>121</v>
      </c>
    </row>
    <row r="51" spans="1:8" x14ac:dyDescent="0.3">
      <c r="A51" s="36" t="s">
        <v>122</v>
      </c>
      <c r="B51" s="37" t="s">
        <v>110</v>
      </c>
      <c r="C51" s="37" t="s">
        <v>110</v>
      </c>
      <c r="D51" s="37" t="s">
        <v>110</v>
      </c>
      <c r="E51" s="37" t="s">
        <v>110</v>
      </c>
      <c r="F51" s="37" t="s">
        <v>110</v>
      </c>
      <c r="G51" s="37" t="s">
        <v>110</v>
      </c>
      <c r="H51" s="26" t="s">
        <v>123</v>
      </c>
    </row>
  </sheetData>
  <mergeCells count="8">
    <mergeCell ref="A1:H1"/>
    <mergeCell ref="A4:I4"/>
    <mergeCell ref="A21:I21"/>
    <mergeCell ref="A44:I44"/>
    <mergeCell ref="A13:I13"/>
    <mergeCell ref="A2:H2"/>
    <mergeCell ref="A37:I37"/>
    <mergeCell ref="A30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D1B5E"/>
  </sheetPr>
  <dimension ref="A1:J35"/>
  <sheetViews>
    <sheetView showGridLines="0" workbookViewId="0">
      <selection activeCell="C17" sqref="C17"/>
    </sheetView>
  </sheetViews>
  <sheetFormatPr defaultRowHeight="14.4" x14ac:dyDescent="0.3"/>
  <cols>
    <col min="1" max="1" width="32.109375" bestFit="1" customWidth="1"/>
    <col min="2" max="7" width="16" customWidth="1"/>
    <col min="8" max="8" width="20.5546875" customWidth="1"/>
    <col min="10" max="10" width="9.5546875" bestFit="1" customWidth="1"/>
  </cols>
  <sheetData>
    <row r="1" spans="1:8" x14ac:dyDescent="0.3">
      <c r="A1" s="138" t="s">
        <v>124</v>
      </c>
      <c r="B1" s="127"/>
      <c r="C1" s="127"/>
      <c r="D1" s="127"/>
      <c r="E1" s="127"/>
      <c r="F1" s="127"/>
      <c r="G1" s="127"/>
      <c r="H1" s="127"/>
    </row>
    <row r="2" spans="1:8" x14ac:dyDescent="0.3">
      <c r="A2" s="136" t="s">
        <v>125</v>
      </c>
      <c r="B2" s="127"/>
      <c r="C2" s="127"/>
      <c r="D2" s="127"/>
      <c r="E2" s="127"/>
      <c r="F2" s="127"/>
      <c r="G2" s="127"/>
      <c r="H2" s="127"/>
    </row>
    <row r="3" spans="1:8" x14ac:dyDescent="0.3">
      <c r="A3" s="2" t="s">
        <v>126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52</v>
      </c>
      <c r="H3" s="2" t="s">
        <v>127</v>
      </c>
    </row>
    <row r="4" spans="1:8" x14ac:dyDescent="0.3">
      <c r="A4" s="137" t="s">
        <v>128</v>
      </c>
      <c r="B4" s="127"/>
      <c r="C4" s="127"/>
      <c r="D4" s="127"/>
      <c r="E4" s="127"/>
      <c r="F4" s="127"/>
      <c r="G4" s="127"/>
      <c r="H4" s="127"/>
    </row>
    <row r="5" spans="1:8" x14ac:dyDescent="0.3">
      <c r="A5" s="27" t="s">
        <v>129</v>
      </c>
      <c r="B5" s="41">
        <v>180000</v>
      </c>
      <c r="C5" s="41">
        <v>180000</v>
      </c>
      <c r="D5" s="41">
        <v>180000</v>
      </c>
      <c r="E5" s="41">
        <v>180000</v>
      </c>
      <c r="F5" s="41">
        <v>180000</v>
      </c>
      <c r="G5" s="41">
        <v>180000</v>
      </c>
      <c r="H5" s="29" t="s">
        <v>79</v>
      </c>
    </row>
    <row r="6" spans="1:8" x14ac:dyDescent="0.3">
      <c r="A6" s="24" t="s">
        <v>130</v>
      </c>
      <c r="B6" s="42">
        <v>250000</v>
      </c>
      <c r="C6" s="42">
        <v>250000</v>
      </c>
      <c r="D6" s="42">
        <v>250000</v>
      </c>
      <c r="E6" s="42">
        <v>250000</v>
      </c>
      <c r="F6" s="42">
        <v>250000</v>
      </c>
      <c r="G6" s="42">
        <v>250000</v>
      </c>
      <c r="H6" s="26" t="s">
        <v>131</v>
      </c>
    </row>
    <row r="7" spans="1:8" ht="20.399999999999999" x14ac:dyDescent="0.3">
      <c r="A7" s="27" t="s">
        <v>132</v>
      </c>
      <c r="B7" s="41">
        <v>100000</v>
      </c>
      <c r="C7" s="41">
        <v>100000</v>
      </c>
      <c r="D7" s="41">
        <v>100000</v>
      </c>
      <c r="E7" s="41">
        <v>100000</v>
      </c>
      <c r="F7" s="41">
        <v>100000</v>
      </c>
      <c r="G7" s="41">
        <v>100000</v>
      </c>
      <c r="H7" s="29" t="s">
        <v>83</v>
      </c>
    </row>
    <row r="8" spans="1:8" x14ac:dyDescent="0.3">
      <c r="A8" s="24" t="s">
        <v>133</v>
      </c>
      <c r="B8" s="42">
        <v>70000</v>
      </c>
      <c r="C8" s="42">
        <v>70000</v>
      </c>
      <c r="D8" s="42">
        <v>70000</v>
      </c>
      <c r="E8" s="42">
        <v>70000</v>
      </c>
      <c r="F8" s="42">
        <v>70000</v>
      </c>
      <c r="G8" s="42">
        <v>70000</v>
      </c>
      <c r="H8" s="26" t="s">
        <v>85</v>
      </c>
    </row>
    <row r="9" spans="1:8" ht="20.399999999999999" x14ac:dyDescent="0.3">
      <c r="A9" s="27" t="s">
        <v>134</v>
      </c>
      <c r="B9" s="41">
        <v>194040</v>
      </c>
      <c r="C9" s="41">
        <v>194040</v>
      </c>
      <c r="D9" s="41">
        <v>194040</v>
      </c>
      <c r="E9" s="41">
        <v>204000</v>
      </c>
      <c r="F9" s="41">
        <v>204000</v>
      </c>
      <c r="G9" s="41">
        <v>214000</v>
      </c>
      <c r="H9" s="29" t="s">
        <v>135</v>
      </c>
    </row>
    <row r="10" spans="1:8" ht="20.399999999999999" x14ac:dyDescent="0.3">
      <c r="A10" s="24" t="s">
        <v>136</v>
      </c>
      <c r="B10" s="42">
        <v>117000</v>
      </c>
      <c r="C10" s="42">
        <v>117000</v>
      </c>
      <c r="D10" s="42">
        <v>212552</v>
      </c>
      <c r="E10" s="42">
        <v>212552</v>
      </c>
      <c r="F10" s="42">
        <v>212552</v>
      </c>
      <c r="G10" s="42">
        <v>212552</v>
      </c>
      <c r="H10" s="26" t="s">
        <v>137</v>
      </c>
    </row>
    <row r="11" spans="1:8" ht="20.399999999999999" x14ac:dyDescent="0.3">
      <c r="A11" s="43" t="s">
        <v>138</v>
      </c>
      <c r="B11" s="44">
        <v>911040</v>
      </c>
      <c r="C11" s="44">
        <v>911040</v>
      </c>
      <c r="D11" s="44">
        <v>1006592</v>
      </c>
      <c r="E11" s="44">
        <v>1016552</v>
      </c>
      <c r="F11" s="44">
        <v>1016552</v>
      </c>
      <c r="G11" s="44">
        <v>1026552</v>
      </c>
      <c r="H11" s="45" t="s">
        <v>139</v>
      </c>
    </row>
    <row r="13" spans="1:8" x14ac:dyDescent="0.3">
      <c r="A13" s="137" t="s">
        <v>140</v>
      </c>
      <c r="B13" s="127"/>
      <c r="C13" s="127"/>
      <c r="D13" s="127"/>
      <c r="E13" s="127"/>
      <c r="F13" s="127"/>
      <c r="G13" s="127"/>
      <c r="H13" s="127"/>
    </row>
    <row r="14" spans="1:8" x14ac:dyDescent="0.3">
      <c r="A14" s="24" t="s">
        <v>141</v>
      </c>
      <c r="B14" s="46">
        <v>34</v>
      </c>
      <c r="C14" s="46">
        <v>50</v>
      </c>
      <c r="D14" s="46">
        <v>133</v>
      </c>
      <c r="E14" s="46">
        <v>150</v>
      </c>
      <c r="F14" s="46">
        <v>165</v>
      </c>
      <c r="G14" s="46">
        <v>180</v>
      </c>
      <c r="H14" s="26" t="s">
        <v>142</v>
      </c>
    </row>
    <row r="15" spans="1:8" x14ac:dyDescent="0.3">
      <c r="A15" s="27" t="s">
        <v>143</v>
      </c>
      <c r="B15" s="41">
        <f>B14*15600</f>
        <v>530400</v>
      </c>
      <c r="C15" s="41">
        <f>C14*15600</f>
        <v>780000</v>
      </c>
      <c r="D15" s="41">
        <f t="shared" ref="D15:G15" si="0">D14*15600</f>
        <v>2074800</v>
      </c>
      <c r="E15" s="41">
        <f t="shared" si="0"/>
        <v>2340000</v>
      </c>
      <c r="F15" s="41">
        <f t="shared" si="0"/>
        <v>2574000</v>
      </c>
      <c r="G15" s="41">
        <f t="shared" si="0"/>
        <v>2808000</v>
      </c>
      <c r="H15" s="29" t="s">
        <v>144</v>
      </c>
    </row>
    <row r="16" spans="1:8" ht="20.399999999999999" x14ac:dyDescent="0.3">
      <c r="A16" s="24" t="s">
        <v>145</v>
      </c>
      <c r="B16" s="47">
        <v>-503880</v>
      </c>
      <c r="C16" s="47">
        <v>-392750</v>
      </c>
      <c r="D16" s="47">
        <f>-(D15*Assumptions!D8)</f>
        <v>-1244880</v>
      </c>
      <c r="E16" s="47">
        <f>-(E15*Assumptions!E8)</f>
        <v>-1170000</v>
      </c>
      <c r="F16" s="47">
        <f>-(F15*Assumptions!F8)</f>
        <v>-1158300</v>
      </c>
      <c r="G16" s="47">
        <f>-(G15*Assumptions!G8)</f>
        <v>-1123200</v>
      </c>
      <c r="H16" s="26" t="s">
        <v>348</v>
      </c>
    </row>
    <row r="17" spans="1:10" x14ac:dyDescent="0.3">
      <c r="A17" s="48" t="s">
        <v>146</v>
      </c>
      <c r="B17" s="49">
        <f>B15+B16</f>
        <v>26520</v>
      </c>
      <c r="C17" s="49">
        <f t="shared" ref="C17:G17" si="1">C15+C16</f>
        <v>387250</v>
      </c>
      <c r="D17" s="49">
        <f t="shared" si="1"/>
        <v>829920</v>
      </c>
      <c r="E17" s="49">
        <f t="shared" si="1"/>
        <v>1170000</v>
      </c>
      <c r="F17" s="49">
        <f t="shared" si="1"/>
        <v>1415700</v>
      </c>
      <c r="G17" s="49">
        <f t="shared" si="1"/>
        <v>1684800</v>
      </c>
      <c r="H17" s="26"/>
      <c r="J17" s="122"/>
    </row>
    <row r="18" spans="1:10" ht="20.399999999999999" x14ac:dyDescent="0.3">
      <c r="A18" s="24" t="s">
        <v>147</v>
      </c>
      <c r="B18" s="42">
        <v>225000</v>
      </c>
      <c r="C18" s="42">
        <v>123750</v>
      </c>
      <c r="D18" s="42">
        <v>135000</v>
      </c>
      <c r="E18" s="42">
        <v>146250</v>
      </c>
      <c r="F18" s="42">
        <v>157500</v>
      </c>
      <c r="G18" s="42">
        <v>168750</v>
      </c>
      <c r="H18" s="26" t="s">
        <v>148</v>
      </c>
    </row>
    <row r="19" spans="1:10" x14ac:dyDescent="0.3">
      <c r="A19" s="27" t="s">
        <v>149</v>
      </c>
      <c r="B19" s="41">
        <v>100000</v>
      </c>
      <c r="C19" s="41">
        <v>100000</v>
      </c>
      <c r="D19" s="41">
        <v>100000</v>
      </c>
      <c r="E19" s="41">
        <v>100000</v>
      </c>
      <c r="F19" s="41">
        <v>100000</v>
      </c>
      <c r="G19" s="41">
        <v>100000</v>
      </c>
      <c r="H19" s="29" t="s">
        <v>150</v>
      </c>
    </row>
    <row r="20" spans="1:10" ht="20.399999999999999" x14ac:dyDescent="0.3">
      <c r="A20" s="24" t="s">
        <v>151</v>
      </c>
      <c r="B20" s="42">
        <v>50800</v>
      </c>
      <c r="C20" s="42">
        <f>350*C14</f>
        <v>17500</v>
      </c>
      <c r="D20" s="42">
        <f t="shared" ref="D20:G20" si="2">350*D14</f>
        <v>46550</v>
      </c>
      <c r="E20" s="42">
        <f t="shared" si="2"/>
        <v>52500</v>
      </c>
      <c r="F20" s="42">
        <f t="shared" si="2"/>
        <v>57750</v>
      </c>
      <c r="G20" s="42">
        <f t="shared" si="2"/>
        <v>63000</v>
      </c>
      <c r="H20" s="26" t="s">
        <v>152</v>
      </c>
    </row>
    <row r="21" spans="1:10" x14ac:dyDescent="0.3">
      <c r="A21" s="43" t="s">
        <v>153</v>
      </c>
      <c r="B21" s="44">
        <f>SUM(B17:B20)</f>
        <v>402320</v>
      </c>
      <c r="C21" s="44">
        <f t="shared" ref="C21:G21" si="3">SUM(C17:C20)</f>
        <v>628500</v>
      </c>
      <c r="D21" s="44">
        <f t="shared" si="3"/>
        <v>1111470</v>
      </c>
      <c r="E21" s="44">
        <f t="shared" si="3"/>
        <v>1468750</v>
      </c>
      <c r="F21" s="44">
        <f t="shared" si="3"/>
        <v>1730950</v>
      </c>
      <c r="G21" s="44">
        <f t="shared" si="3"/>
        <v>2016550</v>
      </c>
      <c r="H21" s="45" t="s">
        <v>154</v>
      </c>
    </row>
    <row r="23" spans="1:10" x14ac:dyDescent="0.3">
      <c r="A23" s="139" t="s">
        <v>155</v>
      </c>
      <c r="B23" s="127"/>
      <c r="C23" s="127"/>
      <c r="D23" s="127"/>
      <c r="E23" s="127"/>
      <c r="F23" s="127"/>
      <c r="G23" s="127"/>
      <c r="H23" s="127"/>
    </row>
    <row r="24" spans="1:10" ht="30.6" x14ac:dyDescent="0.3">
      <c r="A24" s="24" t="s">
        <v>349</v>
      </c>
      <c r="B24" s="42">
        <v>1240000</v>
      </c>
      <c r="C24" s="42">
        <v>696000</v>
      </c>
      <c r="D24" s="42">
        <v>742400</v>
      </c>
      <c r="E24" s="42">
        <v>788800</v>
      </c>
      <c r="F24" s="42">
        <v>835200</v>
      </c>
      <c r="G24" s="42">
        <v>881600</v>
      </c>
      <c r="H24" s="26" t="s">
        <v>156</v>
      </c>
    </row>
    <row r="25" spans="1:10" ht="30.6" x14ac:dyDescent="0.3">
      <c r="A25" s="27" t="s">
        <v>157</v>
      </c>
      <c r="B25" s="41">
        <v>35354</v>
      </c>
      <c r="C25" s="41">
        <v>122376</v>
      </c>
      <c r="D25" s="41">
        <v>140000</v>
      </c>
      <c r="E25" s="41">
        <v>140000</v>
      </c>
      <c r="F25" s="41">
        <v>140000</v>
      </c>
      <c r="G25" s="41">
        <v>140000</v>
      </c>
      <c r="H25" s="29" t="s">
        <v>158</v>
      </c>
    </row>
    <row r="26" spans="1:10" ht="21.6" customHeight="1" x14ac:dyDescent="0.3">
      <c r="A26" s="24" t="s">
        <v>159</v>
      </c>
      <c r="B26" s="42">
        <v>12000</v>
      </c>
      <c r="C26" s="42">
        <v>12000</v>
      </c>
      <c r="D26" s="42">
        <v>12000</v>
      </c>
      <c r="E26" s="42">
        <v>12000</v>
      </c>
      <c r="F26" s="42">
        <v>12000</v>
      </c>
      <c r="G26" s="42">
        <v>12000</v>
      </c>
      <c r="H26" s="26" t="s">
        <v>160</v>
      </c>
    </row>
    <row r="27" spans="1:10" x14ac:dyDescent="0.3">
      <c r="A27" s="43" t="s">
        <v>161</v>
      </c>
      <c r="B27" s="44">
        <v>1287354</v>
      </c>
      <c r="C27" s="44">
        <v>830376</v>
      </c>
      <c r="D27" s="44">
        <v>894400</v>
      </c>
      <c r="E27" s="44">
        <v>940800</v>
      </c>
      <c r="F27" s="44">
        <v>987200</v>
      </c>
      <c r="G27" s="44">
        <v>1033600</v>
      </c>
      <c r="H27" s="45" t="s">
        <v>154</v>
      </c>
    </row>
    <row r="29" spans="1:10" x14ac:dyDescent="0.3">
      <c r="A29" s="137" t="s">
        <v>162</v>
      </c>
      <c r="B29" s="127"/>
      <c r="C29" s="127"/>
      <c r="D29" s="127"/>
      <c r="E29" s="127"/>
      <c r="F29" s="127"/>
      <c r="G29" s="127"/>
      <c r="H29" s="127"/>
    </row>
    <row r="30" spans="1:10" ht="22.8" x14ac:dyDescent="0.3">
      <c r="A30" s="27" t="s">
        <v>346</v>
      </c>
      <c r="C30" s="42">
        <v>200000</v>
      </c>
      <c r="D30" s="42">
        <f>C30*1.03</f>
        <v>206000</v>
      </c>
      <c r="E30" s="42">
        <f t="shared" ref="E30:G30" si="4">D30*1.03</f>
        <v>212180</v>
      </c>
      <c r="F30" s="42">
        <f t="shared" si="4"/>
        <v>218545.4</v>
      </c>
      <c r="G30" s="42">
        <f t="shared" si="4"/>
        <v>225101.76199999999</v>
      </c>
      <c r="H30" s="26" t="s">
        <v>344</v>
      </c>
    </row>
    <row r="31" spans="1:10" ht="22.8" x14ac:dyDescent="0.3">
      <c r="A31" s="24" t="s">
        <v>347</v>
      </c>
      <c r="B31" s="42">
        <v>47000</v>
      </c>
      <c r="C31" s="42">
        <v>47000</v>
      </c>
      <c r="D31" s="42">
        <f>C31*1.03</f>
        <v>48410</v>
      </c>
      <c r="E31" s="42">
        <f t="shared" ref="E31:G31" si="5">D31*1.03</f>
        <v>49862.3</v>
      </c>
      <c r="F31" s="42">
        <f t="shared" si="5"/>
        <v>51358.169000000002</v>
      </c>
      <c r="G31" s="42">
        <f t="shared" si="5"/>
        <v>52898.914070000006</v>
      </c>
      <c r="H31" s="26" t="s">
        <v>163</v>
      </c>
    </row>
    <row r="32" spans="1:10" ht="22.8" x14ac:dyDescent="0.3">
      <c r="A32" s="27" t="s">
        <v>345</v>
      </c>
      <c r="B32" s="50">
        <v>-34597</v>
      </c>
      <c r="C32" s="41">
        <v>23698</v>
      </c>
      <c r="D32" s="41">
        <f>C32*1.03</f>
        <v>24408.940000000002</v>
      </c>
      <c r="E32" s="41">
        <f t="shared" ref="E32:G32" si="6">D32*1.03</f>
        <v>25141.208200000005</v>
      </c>
      <c r="F32" s="41">
        <f t="shared" si="6"/>
        <v>25895.444446000005</v>
      </c>
      <c r="G32" s="41">
        <f t="shared" si="6"/>
        <v>26672.307779380008</v>
      </c>
      <c r="H32" s="29" t="s">
        <v>164</v>
      </c>
    </row>
    <row r="33" spans="1:8" ht="20.399999999999999" x14ac:dyDescent="0.3">
      <c r="A33" s="24" t="s">
        <v>165</v>
      </c>
      <c r="B33" s="42">
        <v>1000</v>
      </c>
      <c r="C33" s="42">
        <v>75000</v>
      </c>
      <c r="D33" s="42">
        <f>C33*1.03</f>
        <v>77250</v>
      </c>
      <c r="E33" s="42">
        <f t="shared" ref="E33:G33" si="7">D33*1.03</f>
        <v>79567.5</v>
      </c>
      <c r="F33" s="42">
        <f t="shared" si="7"/>
        <v>81954.525000000009</v>
      </c>
      <c r="G33" s="42">
        <f t="shared" si="7"/>
        <v>84413.16075000001</v>
      </c>
      <c r="H33" s="26" t="s">
        <v>343</v>
      </c>
    </row>
    <row r="35" spans="1:8" x14ac:dyDescent="0.3">
      <c r="A35" s="43" t="s">
        <v>21</v>
      </c>
      <c r="B35" s="44">
        <f>B11+B21+B27+B30+B31+B32+B33</f>
        <v>2614117</v>
      </c>
      <c r="C35" s="44">
        <f>C11+C21+C27+C30+C31+C32+C33</f>
        <v>2715614</v>
      </c>
      <c r="D35" s="44">
        <f t="shared" ref="D35:G35" si="8">D11+D21+D27+D30+D31+D32+D33</f>
        <v>3368530.94</v>
      </c>
      <c r="E35" s="44">
        <f t="shared" si="8"/>
        <v>3792853.0082</v>
      </c>
      <c r="F35" s="44">
        <f t="shared" si="8"/>
        <v>4112455.5384459998</v>
      </c>
      <c r="G35" s="44">
        <f t="shared" si="8"/>
        <v>4465788.14459938</v>
      </c>
      <c r="H35" s="45"/>
    </row>
  </sheetData>
  <mergeCells count="6">
    <mergeCell ref="A4:H4"/>
    <mergeCell ref="A29:H29"/>
    <mergeCell ref="A2:H2"/>
    <mergeCell ref="A13:H13"/>
    <mergeCell ref="A1:H1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766E"/>
  </sheetPr>
  <dimension ref="A1:H33"/>
  <sheetViews>
    <sheetView showGridLines="0" topLeftCell="A7" workbookViewId="0">
      <selection activeCell="E27" sqref="E27"/>
    </sheetView>
  </sheetViews>
  <sheetFormatPr defaultRowHeight="14.4" x14ac:dyDescent="0.3"/>
  <cols>
    <col min="1" max="1" width="36" customWidth="1"/>
    <col min="2" max="7" width="16" customWidth="1"/>
    <col min="8" max="8" width="20" customWidth="1"/>
  </cols>
  <sheetData>
    <row r="1" spans="1:8" x14ac:dyDescent="0.3">
      <c r="A1" s="140" t="s">
        <v>166</v>
      </c>
      <c r="B1" s="127"/>
      <c r="C1" s="127"/>
      <c r="D1" s="127"/>
      <c r="E1" s="127"/>
      <c r="F1" s="127"/>
      <c r="G1" s="127"/>
      <c r="H1" s="127"/>
    </row>
    <row r="2" spans="1:8" x14ac:dyDescent="0.3">
      <c r="A2" s="141" t="s">
        <v>167</v>
      </c>
      <c r="B2" s="127"/>
      <c r="C2" s="127"/>
      <c r="D2" s="127"/>
      <c r="E2" s="127"/>
      <c r="F2" s="127"/>
      <c r="G2" s="127"/>
      <c r="H2" s="127"/>
    </row>
    <row r="3" spans="1:8" x14ac:dyDescent="0.3">
      <c r="A3" s="51" t="s">
        <v>168</v>
      </c>
      <c r="B3" s="51" t="s">
        <v>47</v>
      </c>
      <c r="C3" s="51" t="s">
        <v>48</v>
      </c>
      <c r="D3" s="51" t="s">
        <v>49</v>
      </c>
      <c r="E3" s="51" t="s">
        <v>50</v>
      </c>
      <c r="F3" s="51" t="s">
        <v>51</v>
      </c>
      <c r="G3" s="51" t="s">
        <v>52</v>
      </c>
      <c r="H3" s="51" t="s">
        <v>53</v>
      </c>
    </row>
    <row r="4" spans="1:8" x14ac:dyDescent="0.3">
      <c r="A4" s="139" t="s">
        <v>169</v>
      </c>
      <c r="B4" s="127"/>
      <c r="C4" s="127"/>
      <c r="D4" s="127"/>
      <c r="E4" s="127"/>
      <c r="F4" s="127"/>
      <c r="G4" s="127"/>
      <c r="H4" s="127"/>
    </row>
    <row r="5" spans="1:8" ht="20.399999999999999" x14ac:dyDescent="0.3">
      <c r="A5" s="27" t="s">
        <v>170</v>
      </c>
      <c r="B5" s="52">
        <v>8</v>
      </c>
      <c r="C5" s="52">
        <v>8</v>
      </c>
      <c r="D5" s="52">
        <v>8</v>
      </c>
      <c r="E5" s="52">
        <v>8</v>
      </c>
      <c r="F5" s="52">
        <v>8</v>
      </c>
      <c r="G5" s="52">
        <v>8</v>
      </c>
      <c r="H5" s="29" t="s">
        <v>171</v>
      </c>
    </row>
    <row r="6" spans="1:8" ht="20.399999999999999" x14ac:dyDescent="0.3">
      <c r="A6" s="24" t="s">
        <v>172</v>
      </c>
      <c r="B6" s="46">
        <v>10</v>
      </c>
      <c r="C6" s="46">
        <v>10</v>
      </c>
      <c r="D6" s="46">
        <v>10</v>
      </c>
      <c r="E6" s="46">
        <v>10</v>
      </c>
      <c r="F6" s="46">
        <v>10</v>
      </c>
      <c r="G6" s="46">
        <v>10</v>
      </c>
      <c r="H6" s="26" t="s">
        <v>173</v>
      </c>
    </row>
    <row r="7" spans="1:8" x14ac:dyDescent="0.3">
      <c r="A7" s="27" t="s">
        <v>174</v>
      </c>
      <c r="B7" s="52">
        <v>10</v>
      </c>
      <c r="C7" s="52">
        <v>10</v>
      </c>
      <c r="D7" s="52">
        <v>10</v>
      </c>
      <c r="E7" s="52">
        <v>10</v>
      </c>
      <c r="F7" s="52">
        <v>10</v>
      </c>
      <c r="G7" s="52">
        <v>10</v>
      </c>
      <c r="H7" s="29" t="s">
        <v>175</v>
      </c>
    </row>
    <row r="8" spans="1:8" ht="20.399999999999999" x14ac:dyDescent="0.3">
      <c r="A8" s="24" t="s">
        <v>176</v>
      </c>
      <c r="B8" s="46">
        <v>20</v>
      </c>
      <c r="C8" s="46">
        <v>20</v>
      </c>
      <c r="D8" s="46">
        <v>20</v>
      </c>
      <c r="E8" s="46">
        <v>20</v>
      </c>
      <c r="F8" s="46">
        <v>20</v>
      </c>
      <c r="G8" s="46">
        <v>20</v>
      </c>
      <c r="H8" s="26" t="s">
        <v>177</v>
      </c>
    </row>
    <row r="9" spans="1:8" x14ac:dyDescent="0.3">
      <c r="A9" s="53" t="s">
        <v>178</v>
      </c>
      <c r="B9" s="54">
        <v>48</v>
      </c>
      <c r="C9" s="54">
        <v>48</v>
      </c>
      <c r="D9" s="54">
        <v>48</v>
      </c>
      <c r="E9" s="54">
        <v>48</v>
      </c>
      <c r="F9" s="54">
        <v>48</v>
      </c>
      <c r="G9" s="54">
        <v>48</v>
      </c>
      <c r="H9" s="55"/>
    </row>
    <row r="10" spans="1:8" ht="24" x14ac:dyDescent="0.3">
      <c r="A10" s="53" t="s">
        <v>69</v>
      </c>
      <c r="B10" s="56">
        <v>928000</v>
      </c>
      <c r="C10" s="56">
        <v>928000</v>
      </c>
      <c r="D10" s="56">
        <v>928000</v>
      </c>
      <c r="E10" s="56">
        <v>928000</v>
      </c>
      <c r="F10" s="56">
        <v>928000</v>
      </c>
      <c r="G10" s="56">
        <v>928000</v>
      </c>
      <c r="H10" s="55" t="s">
        <v>179</v>
      </c>
    </row>
    <row r="12" spans="1:8" x14ac:dyDescent="0.3">
      <c r="A12" s="139" t="s">
        <v>180</v>
      </c>
      <c r="B12" s="127"/>
      <c r="C12" s="127"/>
      <c r="D12" s="127"/>
      <c r="E12" s="127"/>
      <c r="F12" s="127"/>
      <c r="G12" s="127"/>
      <c r="H12" s="127"/>
    </row>
    <row r="13" spans="1:8" ht="30.6" x14ac:dyDescent="0.3">
      <c r="A13" s="27" t="s">
        <v>181</v>
      </c>
      <c r="B13" s="57">
        <v>0.75</v>
      </c>
      <c r="C13" s="57">
        <v>0.75</v>
      </c>
      <c r="D13" s="57">
        <v>0.8</v>
      </c>
      <c r="E13" s="57">
        <v>0.85</v>
      </c>
      <c r="F13" s="57">
        <v>0.9</v>
      </c>
      <c r="G13" s="57">
        <v>0.95</v>
      </c>
      <c r="H13" s="29" t="s">
        <v>182</v>
      </c>
    </row>
    <row r="14" spans="1:8" ht="20.399999999999999" x14ac:dyDescent="0.3">
      <c r="A14" s="24" t="s">
        <v>183</v>
      </c>
      <c r="B14" s="42">
        <v>1240000</v>
      </c>
      <c r="C14" s="42">
        <v>696000</v>
      </c>
      <c r="D14" s="42">
        <v>742400</v>
      </c>
      <c r="E14" s="42">
        <v>788800</v>
      </c>
      <c r="F14" s="42">
        <v>835200</v>
      </c>
      <c r="G14" s="42">
        <v>881600</v>
      </c>
      <c r="H14" s="26" t="s">
        <v>184</v>
      </c>
    </row>
    <row r="15" spans="1:8" ht="30.6" x14ac:dyDescent="0.3">
      <c r="A15" s="27" t="s">
        <v>73</v>
      </c>
      <c r="B15" s="41">
        <v>35354</v>
      </c>
      <c r="C15" s="41">
        <v>122376</v>
      </c>
      <c r="D15" s="41">
        <v>140000</v>
      </c>
      <c r="E15" s="41">
        <v>140000</v>
      </c>
      <c r="F15" s="41">
        <v>140000</v>
      </c>
      <c r="G15" s="41">
        <v>140000</v>
      </c>
      <c r="H15" s="29" t="s">
        <v>185</v>
      </c>
    </row>
    <row r="16" spans="1:8" x14ac:dyDescent="0.3">
      <c r="A16" s="24" t="s">
        <v>186</v>
      </c>
      <c r="B16" s="42">
        <v>12000</v>
      </c>
      <c r="C16" s="42">
        <v>12000</v>
      </c>
      <c r="D16" s="42">
        <v>12000</v>
      </c>
      <c r="E16" s="42">
        <v>12000</v>
      </c>
      <c r="F16" s="42">
        <v>12000</v>
      </c>
      <c r="G16" s="42">
        <v>12000</v>
      </c>
      <c r="H16" s="26" t="s">
        <v>187</v>
      </c>
    </row>
    <row r="17" spans="1:8" ht="20.399999999999999" x14ac:dyDescent="0.3">
      <c r="A17" s="53" t="s">
        <v>188</v>
      </c>
      <c r="B17" s="56">
        <v>1287354</v>
      </c>
      <c r="C17" s="56">
        <v>830376</v>
      </c>
      <c r="D17" s="56">
        <v>894400</v>
      </c>
      <c r="E17" s="56">
        <v>940800</v>
      </c>
      <c r="F17" s="56">
        <v>987200</v>
      </c>
      <c r="G17" s="56">
        <v>1033600</v>
      </c>
      <c r="H17" s="55" t="s">
        <v>189</v>
      </c>
    </row>
    <row r="19" spans="1:8" x14ac:dyDescent="0.3">
      <c r="A19" s="139" t="s">
        <v>190</v>
      </c>
      <c r="B19" s="127"/>
      <c r="C19" s="127"/>
      <c r="D19" s="127"/>
      <c r="E19" s="127"/>
      <c r="F19" s="127"/>
      <c r="G19" s="127"/>
      <c r="H19" s="127"/>
    </row>
    <row r="20" spans="1:8" x14ac:dyDescent="0.3">
      <c r="A20" s="24" t="s">
        <v>191</v>
      </c>
      <c r="B20" s="58">
        <v>1</v>
      </c>
      <c r="C20" s="58">
        <v>1</v>
      </c>
      <c r="D20" s="58">
        <v>1</v>
      </c>
      <c r="E20" s="58">
        <v>1</v>
      </c>
      <c r="F20" s="58">
        <v>1</v>
      </c>
      <c r="G20" s="58">
        <v>1</v>
      </c>
      <c r="H20" s="26" t="s">
        <v>192</v>
      </c>
    </row>
    <row r="21" spans="1:8" ht="20.399999999999999" x14ac:dyDescent="0.3">
      <c r="A21" s="27" t="s">
        <v>183</v>
      </c>
      <c r="B21" s="41">
        <v>1280440</v>
      </c>
      <c r="C21" s="41">
        <v>928000</v>
      </c>
      <c r="D21" s="41">
        <v>928000</v>
      </c>
      <c r="E21" s="41">
        <v>928000</v>
      </c>
      <c r="F21" s="41">
        <v>928000</v>
      </c>
      <c r="G21" s="41">
        <v>928000</v>
      </c>
      <c r="H21" s="29" t="s">
        <v>193</v>
      </c>
    </row>
    <row r="22" spans="1:8" x14ac:dyDescent="0.3">
      <c r="A22" s="24" t="s">
        <v>73</v>
      </c>
      <c r="B22" s="42">
        <v>35354</v>
      </c>
      <c r="C22" s="42">
        <v>122376</v>
      </c>
      <c r="D22" s="42">
        <v>140000</v>
      </c>
      <c r="E22" s="42">
        <v>140000</v>
      </c>
      <c r="F22" s="42">
        <v>140000</v>
      </c>
      <c r="G22" s="42">
        <v>140000</v>
      </c>
      <c r="H22" s="26" t="s">
        <v>194</v>
      </c>
    </row>
    <row r="23" spans="1:8" x14ac:dyDescent="0.3">
      <c r="A23" s="27" t="s">
        <v>186</v>
      </c>
      <c r="B23" s="41">
        <v>12000</v>
      </c>
      <c r="C23" s="41">
        <v>12000</v>
      </c>
      <c r="D23" s="41">
        <v>12000</v>
      </c>
      <c r="E23" s="41">
        <v>12000</v>
      </c>
      <c r="F23" s="41">
        <v>12000</v>
      </c>
      <c r="G23" s="41">
        <v>12000</v>
      </c>
      <c r="H23" s="29" t="s">
        <v>194</v>
      </c>
    </row>
    <row r="24" spans="1:8" ht="20.399999999999999" x14ac:dyDescent="0.3">
      <c r="A24" s="53" t="s">
        <v>195</v>
      </c>
      <c r="B24" s="56">
        <v>1327794</v>
      </c>
      <c r="C24" s="56">
        <v>1062376</v>
      </c>
      <c r="D24" s="56">
        <v>1080000</v>
      </c>
      <c r="E24" s="56">
        <v>1080000</v>
      </c>
      <c r="F24" s="56">
        <v>1080000</v>
      </c>
      <c r="G24" s="56">
        <v>1080000</v>
      </c>
      <c r="H24" s="55" t="s">
        <v>196</v>
      </c>
    </row>
    <row r="26" spans="1:8" x14ac:dyDescent="0.3">
      <c r="A26" s="139" t="s">
        <v>197</v>
      </c>
      <c r="B26" s="127"/>
      <c r="C26" s="127"/>
      <c r="D26" s="127"/>
      <c r="E26" s="127"/>
      <c r="F26" s="127"/>
      <c r="G26" s="127"/>
      <c r="H26" s="127"/>
    </row>
    <row r="27" spans="1:8" ht="20.399999999999999" x14ac:dyDescent="0.3">
      <c r="A27" s="59" t="s">
        <v>198</v>
      </c>
      <c r="B27" s="60">
        <v>40440</v>
      </c>
      <c r="C27" s="60">
        <v>232000</v>
      </c>
      <c r="D27" s="60">
        <v>185600</v>
      </c>
      <c r="E27" s="60">
        <v>139200</v>
      </c>
      <c r="F27" s="60">
        <v>92800</v>
      </c>
      <c r="G27" s="60">
        <v>46400</v>
      </c>
      <c r="H27" s="61" t="s">
        <v>199</v>
      </c>
    </row>
    <row r="29" spans="1:8" x14ac:dyDescent="0.3">
      <c r="A29" s="139" t="s">
        <v>200</v>
      </c>
      <c r="B29" s="127"/>
      <c r="C29" s="127"/>
      <c r="D29" s="127"/>
      <c r="E29" s="127"/>
      <c r="F29" s="127"/>
      <c r="G29" s="127"/>
      <c r="H29" s="127"/>
    </row>
    <row r="30" spans="1:8" x14ac:dyDescent="0.3">
      <c r="A30" s="24" t="s">
        <v>201</v>
      </c>
      <c r="B30" s="42">
        <v>7500</v>
      </c>
      <c r="C30" s="42">
        <v>500</v>
      </c>
      <c r="D30" s="42">
        <v>8000</v>
      </c>
      <c r="E30" s="42">
        <v>8000</v>
      </c>
      <c r="F30" s="42">
        <v>16000</v>
      </c>
      <c r="G30" s="42">
        <v>256000</v>
      </c>
      <c r="H30" s="26" t="s">
        <v>202</v>
      </c>
    </row>
    <row r="31" spans="1:8" x14ac:dyDescent="0.3">
      <c r="A31" s="27" t="s">
        <v>203</v>
      </c>
      <c r="B31" s="41">
        <v>6500</v>
      </c>
      <c r="C31" s="41">
        <v>500</v>
      </c>
      <c r="D31" s="41">
        <v>7000</v>
      </c>
      <c r="E31" s="41">
        <v>14000</v>
      </c>
      <c r="F31" s="41">
        <v>28000</v>
      </c>
      <c r="G31" s="41">
        <v>560000</v>
      </c>
      <c r="H31" s="29" t="s">
        <v>204</v>
      </c>
    </row>
    <row r="32" spans="1:8" x14ac:dyDescent="0.3">
      <c r="A32" s="24" t="s">
        <v>205</v>
      </c>
      <c r="B32" s="42">
        <v>5500</v>
      </c>
      <c r="C32" s="42">
        <v>500</v>
      </c>
      <c r="D32" s="42">
        <v>6000</v>
      </c>
      <c r="E32" s="42">
        <v>6000</v>
      </c>
      <c r="F32" s="42">
        <v>12000</v>
      </c>
      <c r="G32" s="42">
        <v>240000</v>
      </c>
      <c r="H32" s="26" t="s">
        <v>202</v>
      </c>
    </row>
    <row r="33" spans="1:8" x14ac:dyDescent="0.3">
      <c r="A33" s="27" t="s">
        <v>206</v>
      </c>
      <c r="B33" s="41">
        <v>4500</v>
      </c>
      <c r="C33" s="41">
        <v>500</v>
      </c>
      <c r="D33" s="41">
        <v>5000</v>
      </c>
      <c r="E33" s="41">
        <v>10000</v>
      </c>
      <c r="F33" s="41">
        <v>20000</v>
      </c>
      <c r="G33" s="41">
        <v>800000</v>
      </c>
      <c r="H33" s="29" t="s">
        <v>204</v>
      </c>
    </row>
  </sheetData>
  <mergeCells count="7">
    <mergeCell ref="A1:H1"/>
    <mergeCell ref="A12:H12"/>
    <mergeCell ref="A4:H4"/>
    <mergeCell ref="A26:H26"/>
    <mergeCell ref="A29:H29"/>
    <mergeCell ref="A2:H2"/>
    <mergeCell ref="A19:H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9A22B"/>
  </sheetPr>
  <dimension ref="A1:F32"/>
  <sheetViews>
    <sheetView showGridLines="0" workbookViewId="0">
      <selection activeCell="A25" sqref="A25:D25"/>
    </sheetView>
  </sheetViews>
  <sheetFormatPr defaultRowHeight="14.4" x14ac:dyDescent="0.3"/>
  <cols>
    <col min="1" max="1" width="4" customWidth="1"/>
    <col min="2" max="2" width="42" customWidth="1"/>
    <col min="3" max="3" width="42.33203125" bestFit="1" customWidth="1"/>
    <col min="4" max="4" width="22" customWidth="1"/>
  </cols>
  <sheetData>
    <row r="1" spans="1:4" ht="20.100000000000001" customHeight="1" x14ac:dyDescent="0.3">
      <c r="A1" s="142" t="s">
        <v>207</v>
      </c>
      <c r="B1" s="127"/>
      <c r="C1" s="127"/>
      <c r="D1" s="127"/>
    </row>
    <row r="2" spans="1:4" ht="21.9" customHeight="1" thickBot="1" x14ac:dyDescent="0.35">
      <c r="B2" s="62" t="s">
        <v>208</v>
      </c>
      <c r="C2" s="63" t="s">
        <v>209</v>
      </c>
    </row>
    <row r="3" spans="1:4" ht="9.9" customHeight="1" x14ac:dyDescent="0.3">
      <c r="B3" s="64" t="s">
        <v>210</v>
      </c>
    </row>
    <row r="5" spans="1:4" ht="32.1" customHeight="1" thickBot="1" x14ac:dyDescent="0.35">
      <c r="A5" s="143" t="s">
        <v>211</v>
      </c>
      <c r="B5" s="127"/>
      <c r="C5" s="127"/>
      <c r="D5" s="127"/>
    </row>
    <row r="6" spans="1:4" ht="26.1" customHeight="1" x14ac:dyDescent="0.3">
      <c r="A6" s="1"/>
      <c r="B6" s="2" t="s">
        <v>212</v>
      </c>
      <c r="C6" s="2" t="s">
        <v>48</v>
      </c>
      <c r="D6" s="2" t="s">
        <v>213</v>
      </c>
    </row>
    <row r="7" spans="1:4" ht="20.100000000000001" customHeight="1" x14ac:dyDescent="0.3">
      <c r="A7" s="131" t="s">
        <v>14</v>
      </c>
      <c r="B7" s="127"/>
      <c r="C7" s="127"/>
      <c r="D7" s="127"/>
    </row>
    <row r="8" spans="1:4" ht="18" customHeight="1" x14ac:dyDescent="0.3">
      <c r="A8" s="5"/>
      <c r="B8" s="65" t="s">
        <v>15</v>
      </c>
      <c r="C8" s="66">
        <v>628500</v>
      </c>
      <c r="D8" s="67">
        <f>C8/$C$15</f>
        <v>0.23143937245867785</v>
      </c>
    </row>
    <row r="9" spans="1:4" ht="18" customHeight="1" x14ac:dyDescent="0.3">
      <c r="A9" s="5"/>
      <c r="B9" s="65" t="s">
        <v>16</v>
      </c>
      <c r="C9" s="66">
        <f>'Revenue Detail'!C11</f>
        <v>911040</v>
      </c>
      <c r="D9" s="67">
        <f>C9/$C$15</f>
        <v>0.33548214142363386</v>
      </c>
    </row>
    <row r="10" spans="1:4" ht="18" customHeight="1" x14ac:dyDescent="0.3">
      <c r="A10" s="5"/>
      <c r="B10" s="65" t="s">
        <v>17</v>
      </c>
      <c r="C10" s="66">
        <f>'Revenue Detail'!C27</f>
        <v>830376</v>
      </c>
      <c r="D10" s="67">
        <f>C10/$C$15</f>
        <v>0.30577836172593015</v>
      </c>
    </row>
    <row r="11" spans="1:4" ht="18" customHeight="1" x14ac:dyDescent="0.3">
      <c r="A11" s="5"/>
      <c r="B11" s="65" t="s">
        <v>18</v>
      </c>
      <c r="C11" s="66">
        <f>'Revenue Detail'!C30</f>
        <v>200000</v>
      </c>
      <c r="D11" s="67">
        <f>C11/$C$15</f>
        <v>7.3648169437924529E-2</v>
      </c>
    </row>
    <row r="12" spans="1:4" ht="18" customHeight="1" x14ac:dyDescent="0.3">
      <c r="A12" s="5"/>
      <c r="B12" s="65" t="s">
        <v>359</v>
      </c>
      <c r="C12" s="66">
        <f>'Revenue Detail'!C31</f>
        <v>47000</v>
      </c>
      <c r="D12" s="67">
        <f>C12/$C$15</f>
        <v>1.7307319817912267E-2</v>
      </c>
    </row>
    <row r="13" spans="1:4" ht="18" customHeight="1" x14ac:dyDescent="0.3">
      <c r="A13" s="5"/>
      <c r="B13" s="65" t="s">
        <v>19</v>
      </c>
      <c r="C13" s="66">
        <f>'Revenue Detail'!C33</f>
        <v>75000</v>
      </c>
      <c r="D13" s="67">
        <f>C13/$C$15</f>
        <v>2.76180635392217E-2</v>
      </c>
    </row>
    <row r="14" spans="1:4" ht="18" customHeight="1" x14ac:dyDescent="0.3">
      <c r="A14" s="5"/>
      <c r="B14" s="65" t="s">
        <v>20</v>
      </c>
      <c r="C14" s="66">
        <f>'Revenue Detail'!C32</f>
        <v>23698</v>
      </c>
      <c r="D14" s="67">
        <f>C14/$C$15</f>
        <v>8.7265715966996782E-3</v>
      </c>
    </row>
    <row r="15" spans="1:4" ht="18" customHeight="1" x14ac:dyDescent="0.3">
      <c r="A15" s="68"/>
      <c r="B15" s="69" t="s">
        <v>21</v>
      </c>
      <c r="C15" s="70">
        <f>SUM(C8:C14)</f>
        <v>2715614</v>
      </c>
      <c r="D15" s="71">
        <v>1</v>
      </c>
    </row>
    <row r="17" spans="1:6" ht="20.100000000000001" customHeight="1" x14ac:dyDescent="0.3">
      <c r="A17" s="131" t="s">
        <v>22</v>
      </c>
      <c r="B17" s="127"/>
      <c r="C17" s="127"/>
      <c r="D17" s="127"/>
    </row>
    <row r="18" spans="1:6" ht="18" customHeight="1" x14ac:dyDescent="0.3">
      <c r="A18" s="5"/>
      <c r="B18" s="65" t="s">
        <v>23</v>
      </c>
      <c r="C18" s="66">
        <f>'Expense Detail'!C13</f>
        <v>1254073</v>
      </c>
      <c r="D18" s="67">
        <f>C18/$C$15</f>
        <v>0.46180090395763168</v>
      </c>
    </row>
    <row r="19" spans="1:6" ht="18" customHeight="1" x14ac:dyDescent="0.3">
      <c r="A19" s="5"/>
      <c r="B19" s="65" t="s">
        <v>24</v>
      </c>
      <c r="C19" s="66">
        <f>'Expense Detail'!C28</f>
        <v>890844.41249999998</v>
      </c>
      <c r="D19" s="67">
        <f t="shared" ref="D19:D20" si="0">C19/$C$15</f>
        <v>0.32804530117314168</v>
      </c>
    </row>
    <row r="20" spans="1:6" ht="18" customHeight="1" x14ac:dyDescent="0.3">
      <c r="A20" s="5"/>
      <c r="B20" s="65" t="s">
        <v>25</v>
      </c>
      <c r="C20" s="66">
        <f>'Expense Detail'!C39</f>
        <v>386739</v>
      </c>
      <c r="D20" s="67">
        <f t="shared" si="0"/>
        <v>0.14241309700126747</v>
      </c>
    </row>
    <row r="21" spans="1:6" ht="18" customHeight="1" x14ac:dyDescent="0.3">
      <c r="A21" s="68"/>
      <c r="B21" s="69" t="s">
        <v>26</v>
      </c>
      <c r="C21" s="70">
        <f>SUM(C18:C20)</f>
        <v>2531656.4125000001</v>
      </c>
      <c r="D21" s="71">
        <f>SUM(D18:D20)</f>
        <v>0.93225930213204078</v>
      </c>
    </row>
    <row r="23" spans="1:6" ht="18" customHeight="1" x14ac:dyDescent="0.3">
      <c r="A23" s="72"/>
      <c r="B23" s="73" t="s">
        <v>27</v>
      </c>
      <c r="C23" s="74">
        <f>C15-C21</f>
        <v>183957.58749999991</v>
      </c>
      <c r="D23" s="75">
        <f>C23/$C$15</f>
        <v>6.774069786795911E-2</v>
      </c>
      <c r="F23" s="122">
        <f>C23-'Expense Detail'!C43</f>
        <v>0</v>
      </c>
    </row>
    <row r="25" spans="1:6" ht="20.100000000000001" customHeight="1" x14ac:dyDescent="0.3">
      <c r="A25" s="131" t="s">
        <v>214</v>
      </c>
      <c r="B25" s="127"/>
      <c r="C25" s="127"/>
      <c r="D25" s="127"/>
    </row>
    <row r="26" spans="1:6" ht="18" customHeight="1" x14ac:dyDescent="0.3">
      <c r="A26" s="8"/>
      <c r="B26" s="76" t="s">
        <v>215</v>
      </c>
      <c r="C26" s="120">
        <v>67</v>
      </c>
      <c r="D26" s="78"/>
    </row>
    <row r="27" spans="1:6" ht="18" customHeight="1" x14ac:dyDescent="0.3">
      <c r="A27" s="5"/>
      <c r="B27" s="65" t="s">
        <v>216</v>
      </c>
      <c r="C27" s="79" t="s">
        <v>36</v>
      </c>
      <c r="D27" s="80"/>
    </row>
    <row r="28" spans="1:6" ht="18" customHeight="1" x14ac:dyDescent="0.3">
      <c r="A28" s="8"/>
      <c r="B28" s="76" t="s">
        <v>217</v>
      </c>
      <c r="C28" s="81" t="s">
        <v>218</v>
      </c>
      <c r="D28" s="78"/>
    </row>
    <row r="29" spans="1:6" ht="18" customHeight="1" x14ac:dyDescent="0.3">
      <c r="A29" s="5"/>
      <c r="B29" s="65" t="s">
        <v>99</v>
      </c>
      <c r="C29" s="66">
        <v>866645</v>
      </c>
      <c r="D29" s="80"/>
    </row>
    <row r="30" spans="1:6" ht="18" customHeight="1" x14ac:dyDescent="0.3">
      <c r="A30" s="8"/>
      <c r="B30" s="76" t="s">
        <v>219</v>
      </c>
      <c r="C30" s="77">
        <f>C29*0.085</f>
        <v>73664.825000000012</v>
      </c>
      <c r="D30" s="78"/>
    </row>
    <row r="32" spans="1:6" ht="12" customHeight="1" x14ac:dyDescent="0.3">
      <c r="A32" s="126" t="s">
        <v>220</v>
      </c>
      <c r="B32" s="127"/>
      <c r="C32" s="127"/>
      <c r="D32" s="127"/>
    </row>
  </sheetData>
  <mergeCells count="6">
    <mergeCell ref="A1:D1"/>
    <mergeCell ref="A5:D5"/>
    <mergeCell ref="A32:D32"/>
    <mergeCell ref="A7:D7"/>
    <mergeCell ref="A25:D25"/>
    <mergeCell ref="A17:D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3A6B"/>
  </sheetPr>
  <dimension ref="A1:H43"/>
  <sheetViews>
    <sheetView showGridLines="0" zoomScale="110" zoomScaleNormal="110" workbookViewId="0">
      <selection activeCell="J16" sqref="J16"/>
    </sheetView>
  </sheetViews>
  <sheetFormatPr defaultRowHeight="14.4" x14ac:dyDescent="0.3"/>
  <cols>
    <col min="1" max="1" width="37.5546875" bestFit="1" customWidth="1"/>
    <col min="2" max="7" width="9.88671875" bestFit="1" customWidth="1"/>
    <col min="8" max="8" width="20.109375" bestFit="1" customWidth="1"/>
  </cols>
  <sheetData>
    <row r="1" spans="1:8" x14ac:dyDescent="0.3">
      <c r="A1" s="138" t="s">
        <v>221</v>
      </c>
      <c r="B1" s="127"/>
      <c r="C1" s="127"/>
      <c r="D1" s="127"/>
      <c r="E1" s="127"/>
      <c r="F1" s="127"/>
      <c r="G1" s="127"/>
      <c r="H1" s="127"/>
    </row>
    <row r="2" spans="1:8" x14ac:dyDescent="0.3">
      <c r="A2" s="136" t="s">
        <v>222</v>
      </c>
      <c r="B2" s="127"/>
      <c r="C2" s="127"/>
      <c r="D2" s="127"/>
      <c r="E2" s="127"/>
      <c r="F2" s="127"/>
      <c r="G2" s="127"/>
      <c r="H2" s="127"/>
    </row>
    <row r="3" spans="1:8" x14ac:dyDescent="0.3">
      <c r="A3" s="2" t="s">
        <v>223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52</v>
      </c>
      <c r="H3" s="2" t="s">
        <v>127</v>
      </c>
    </row>
    <row r="4" spans="1:8" x14ac:dyDescent="0.3">
      <c r="A4" s="137" t="s">
        <v>224</v>
      </c>
      <c r="B4" s="127"/>
      <c r="C4" s="127"/>
      <c r="D4" s="127"/>
      <c r="E4" s="127"/>
      <c r="F4" s="127"/>
      <c r="G4" s="127"/>
      <c r="H4" s="127"/>
    </row>
    <row r="5" spans="1:8" ht="30.6" x14ac:dyDescent="0.3">
      <c r="A5" s="27" t="s">
        <v>225</v>
      </c>
      <c r="B5" s="41">
        <v>392000</v>
      </c>
      <c r="C5" s="41">
        <f>237007+254877</f>
        <v>491884</v>
      </c>
      <c r="D5" s="41">
        <v>628000</v>
      </c>
      <c r="E5" s="41">
        <v>683000</v>
      </c>
      <c r="F5" s="41">
        <v>703000</v>
      </c>
      <c r="G5" s="41">
        <v>724000</v>
      </c>
      <c r="H5" s="29" t="s">
        <v>226</v>
      </c>
    </row>
    <row r="6" spans="1:8" x14ac:dyDescent="0.3">
      <c r="A6" s="24" t="s">
        <v>227</v>
      </c>
      <c r="B6" s="42">
        <v>217000</v>
      </c>
      <c r="C6" s="42">
        <f>B6*1.03</f>
        <v>223510</v>
      </c>
      <c r="D6" s="42">
        <f t="shared" ref="D6:G6" si="0">C6*1.03</f>
        <v>230215.30000000002</v>
      </c>
      <c r="E6" s="42">
        <f t="shared" si="0"/>
        <v>237121.75900000002</v>
      </c>
      <c r="F6" s="42">
        <f t="shared" si="0"/>
        <v>244235.41177000004</v>
      </c>
      <c r="G6" s="42">
        <f t="shared" si="0"/>
        <v>251562.47412310005</v>
      </c>
      <c r="H6" s="26" t="s">
        <v>228</v>
      </c>
    </row>
    <row r="7" spans="1:8" ht="20.399999999999999" x14ac:dyDescent="0.3">
      <c r="A7" s="82" t="s">
        <v>229</v>
      </c>
      <c r="B7" s="83">
        <v>0</v>
      </c>
      <c r="C7" s="83">
        <v>0</v>
      </c>
      <c r="D7" s="83">
        <v>120000</v>
      </c>
      <c r="E7" s="83">
        <v>124000</v>
      </c>
      <c r="F7" s="83">
        <v>128000</v>
      </c>
      <c r="G7" s="83">
        <v>132000</v>
      </c>
      <c r="H7" s="84" t="s">
        <v>230</v>
      </c>
    </row>
    <row r="8" spans="1:8" ht="22.8" x14ac:dyDescent="0.3">
      <c r="A8" s="24" t="s">
        <v>351</v>
      </c>
      <c r="B8" s="42">
        <v>112143</v>
      </c>
      <c r="C8" s="42">
        <v>35000</v>
      </c>
      <c r="D8" s="42">
        <v>35000</v>
      </c>
      <c r="E8" s="42">
        <v>35000</v>
      </c>
      <c r="F8" s="42">
        <v>35000</v>
      </c>
      <c r="G8" s="42">
        <v>35000</v>
      </c>
      <c r="H8" s="26" t="s">
        <v>231</v>
      </c>
    </row>
    <row r="9" spans="1:8" ht="20.399999999999999" x14ac:dyDescent="0.3">
      <c r="A9" s="27" t="s">
        <v>232</v>
      </c>
      <c r="B9" s="41">
        <v>101000</v>
      </c>
      <c r="C9" s="41">
        <v>80000</v>
      </c>
      <c r="D9" s="41">
        <v>60000</v>
      </c>
      <c r="E9" s="41">
        <v>50000</v>
      </c>
      <c r="F9" s="41">
        <v>45000</v>
      </c>
      <c r="G9" s="41">
        <v>40000</v>
      </c>
      <c r="H9" s="29" t="s">
        <v>233</v>
      </c>
    </row>
    <row r="10" spans="1:8" x14ac:dyDescent="0.3">
      <c r="A10" s="24" t="s">
        <v>234</v>
      </c>
      <c r="B10" s="42">
        <v>55000</v>
      </c>
      <c r="C10" s="42">
        <v>56650</v>
      </c>
      <c r="D10" s="42">
        <v>58350</v>
      </c>
      <c r="E10" s="42">
        <v>60100</v>
      </c>
      <c r="F10" s="42">
        <v>61900</v>
      </c>
      <c r="G10" s="42">
        <v>63760</v>
      </c>
      <c r="H10" s="26" t="s">
        <v>235</v>
      </c>
    </row>
    <row r="11" spans="1:8" x14ac:dyDescent="0.3">
      <c r="A11" s="27" t="s">
        <v>236</v>
      </c>
      <c r="B11" s="41">
        <v>45000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29" t="s">
        <v>353</v>
      </c>
    </row>
    <row r="12" spans="1:8" ht="20.399999999999999" x14ac:dyDescent="0.3">
      <c r="A12" s="24" t="s">
        <v>237</v>
      </c>
      <c r="B12" s="42">
        <v>255555</v>
      </c>
      <c r="C12" s="42">
        <v>367029</v>
      </c>
      <c r="D12" s="42">
        <v>170410</v>
      </c>
      <c r="E12" s="42">
        <v>151730</v>
      </c>
      <c r="F12" s="42">
        <v>164155</v>
      </c>
      <c r="G12" s="42">
        <v>176725</v>
      </c>
      <c r="H12" s="26" t="s">
        <v>238</v>
      </c>
    </row>
    <row r="13" spans="1:8" x14ac:dyDescent="0.3">
      <c r="A13" s="85" t="s">
        <v>239</v>
      </c>
      <c r="B13" s="86">
        <f>SUM(B5:B12)</f>
        <v>1177698</v>
      </c>
      <c r="C13" s="86">
        <f t="shared" ref="C13:G13" si="1">SUM(C5:C12)</f>
        <v>1254073</v>
      </c>
      <c r="D13" s="86">
        <f t="shared" si="1"/>
        <v>1301975.3</v>
      </c>
      <c r="E13" s="86">
        <f t="shared" si="1"/>
        <v>1340951.7590000001</v>
      </c>
      <c r="F13" s="86">
        <f t="shared" si="1"/>
        <v>1381290.4117700001</v>
      </c>
      <c r="G13" s="86">
        <f t="shared" si="1"/>
        <v>1423047.4741231001</v>
      </c>
      <c r="H13" s="45"/>
    </row>
    <row r="15" spans="1:8" x14ac:dyDescent="0.3">
      <c r="A15" s="137" t="s">
        <v>240</v>
      </c>
      <c r="B15" s="127"/>
      <c r="C15" s="127"/>
      <c r="D15" s="127"/>
      <c r="E15" s="127"/>
      <c r="F15" s="127"/>
      <c r="G15" s="127"/>
      <c r="H15" s="127"/>
    </row>
    <row r="16" spans="1:8" ht="20.399999999999999" x14ac:dyDescent="0.3">
      <c r="A16" s="24" t="s">
        <v>241</v>
      </c>
      <c r="B16" s="42">
        <v>444224</v>
      </c>
      <c r="C16" s="42">
        <v>538393</v>
      </c>
      <c r="D16" s="42">
        <v>550000</v>
      </c>
      <c r="E16" s="42">
        <v>660000</v>
      </c>
      <c r="F16" s="42">
        <v>680000</v>
      </c>
      <c r="G16" s="42">
        <v>700000</v>
      </c>
      <c r="H16" s="26" t="s">
        <v>242</v>
      </c>
    </row>
    <row r="17" spans="1:8" ht="20.399999999999999" x14ac:dyDescent="0.3">
      <c r="A17" s="82" t="s">
        <v>243</v>
      </c>
      <c r="B17" s="83">
        <v>0</v>
      </c>
      <c r="C17" s="83">
        <v>0</v>
      </c>
      <c r="D17" s="83">
        <v>115000</v>
      </c>
      <c r="E17" s="83">
        <v>118450</v>
      </c>
      <c r="F17" s="83">
        <v>122000</v>
      </c>
      <c r="G17" s="83">
        <v>125700</v>
      </c>
      <c r="H17" s="84" t="s">
        <v>244</v>
      </c>
    </row>
    <row r="18" spans="1:8" x14ac:dyDescent="0.3">
      <c r="A18" s="87" t="s">
        <v>245</v>
      </c>
      <c r="B18" s="88">
        <v>0</v>
      </c>
      <c r="C18" s="88">
        <v>0</v>
      </c>
      <c r="D18" s="88">
        <v>0</v>
      </c>
      <c r="E18" s="88">
        <v>115000</v>
      </c>
      <c r="F18" s="88">
        <v>118450</v>
      </c>
      <c r="G18" s="88">
        <v>122000</v>
      </c>
      <c r="H18" s="89" t="s">
        <v>246</v>
      </c>
    </row>
    <row r="19" spans="1:8" x14ac:dyDescent="0.3">
      <c r="A19" s="82" t="s">
        <v>247</v>
      </c>
      <c r="B19" s="83">
        <v>0</v>
      </c>
      <c r="C19" s="83">
        <v>0</v>
      </c>
      <c r="D19" s="83">
        <v>0</v>
      </c>
      <c r="E19" s="83">
        <v>115000</v>
      </c>
      <c r="F19" s="83">
        <v>118450</v>
      </c>
      <c r="G19" s="83">
        <v>122000</v>
      </c>
      <c r="H19" s="84" t="s">
        <v>246</v>
      </c>
    </row>
    <row r="20" spans="1:8" ht="20.399999999999999" x14ac:dyDescent="0.3">
      <c r="A20" s="24" t="s">
        <v>248</v>
      </c>
      <c r="B20" s="42">
        <v>73665</v>
      </c>
      <c r="C20" s="42">
        <f>Assumptions!C41</f>
        <v>36832.412500000006</v>
      </c>
      <c r="D20" s="42">
        <f>Assumptions!D41</f>
        <v>18416.206250000003</v>
      </c>
      <c r="E20" s="42">
        <f>Assumptions!E41</f>
        <v>0</v>
      </c>
      <c r="F20" s="42">
        <f>Assumptions!F41</f>
        <v>0</v>
      </c>
      <c r="G20" s="42">
        <f>Assumptions!G41</f>
        <v>0</v>
      </c>
      <c r="H20" s="26" t="s">
        <v>352</v>
      </c>
    </row>
    <row r="21" spans="1:8" x14ac:dyDescent="0.3">
      <c r="A21" s="27" t="s">
        <v>249</v>
      </c>
      <c r="B21" s="41">
        <v>24000</v>
      </c>
      <c r="C21" s="41">
        <f>B21*1.03</f>
        <v>24720</v>
      </c>
      <c r="D21" s="41">
        <f t="shared" ref="D21:G21" si="2">C21*1.03</f>
        <v>25461.600000000002</v>
      </c>
      <c r="E21" s="41">
        <f t="shared" si="2"/>
        <v>26225.448000000004</v>
      </c>
      <c r="F21" s="41">
        <f t="shared" si="2"/>
        <v>27012.211440000006</v>
      </c>
      <c r="G21" s="41">
        <f t="shared" si="2"/>
        <v>27822.577783200006</v>
      </c>
      <c r="H21" s="29" t="s">
        <v>235</v>
      </c>
    </row>
    <row r="22" spans="1:8" x14ac:dyDescent="0.3">
      <c r="A22" s="24" t="s">
        <v>250</v>
      </c>
      <c r="B22" s="42">
        <v>44308</v>
      </c>
      <c r="C22" s="42">
        <v>45637</v>
      </c>
      <c r="D22" s="42">
        <v>47006</v>
      </c>
      <c r="E22" s="42">
        <v>48416</v>
      </c>
      <c r="F22" s="42">
        <v>49869</v>
      </c>
      <c r="G22" s="42">
        <v>51365</v>
      </c>
      <c r="H22" s="26" t="s">
        <v>235</v>
      </c>
    </row>
    <row r="23" spans="1:8" x14ac:dyDescent="0.3">
      <c r="A23" s="27" t="s">
        <v>251</v>
      </c>
      <c r="B23" s="41">
        <v>95897</v>
      </c>
      <c r="C23" s="41">
        <v>98774</v>
      </c>
      <c r="D23" s="41">
        <v>101737</v>
      </c>
      <c r="E23" s="41">
        <v>104789</v>
      </c>
      <c r="F23" s="41">
        <v>107933</v>
      </c>
      <c r="G23" s="41">
        <v>111171</v>
      </c>
      <c r="H23" s="29" t="s">
        <v>235</v>
      </c>
    </row>
    <row r="24" spans="1:8" x14ac:dyDescent="0.3">
      <c r="A24" s="24" t="s">
        <v>252</v>
      </c>
      <c r="B24" s="42">
        <v>13000</v>
      </c>
      <c r="C24" s="42">
        <v>13390</v>
      </c>
      <c r="D24" s="42">
        <v>13791</v>
      </c>
      <c r="E24" s="42">
        <v>14205</v>
      </c>
      <c r="F24" s="42">
        <v>14631</v>
      </c>
      <c r="G24" s="42">
        <v>15070</v>
      </c>
      <c r="H24" s="26" t="s">
        <v>235</v>
      </c>
    </row>
    <row r="25" spans="1:8" x14ac:dyDescent="0.3">
      <c r="A25" s="27" t="s">
        <v>253</v>
      </c>
      <c r="B25" s="41">
        <v>35000</v>
      </c>
      <c r="C25" s="41">
        <v>36050</v>
      </c>
      <c r="D25" s="41">
        <v>37131</v>
      </c>
      <c r="E25" s="41">
        <v>38245</v>
      </c>
      <c r="F25" s="41">
        <v>39392</v>
      </c>
      <c r="G25" s="41">
        <v>40574</v>
      </c>
      <c r="H25" s="29" t="s">
        <v>235</v>
      </c>
    </row>
    <row r="26" spans="1:8" x14ac:dyDescent="0.3">
      <c r="A26" s="24" t="s">
        <v>254</v>
      </c>
      <c r="B26" s="42">
        <v>63894</v>
      </c>
      <c r="C26" s="42">
        <v>65811</v>
      </c>
      <c r="D26" s="42">
        <v>67785</v>
      </c>
      <c r="E26" s="42">
        <v>69819</v>
      </c>
      <c r="F26" s="42">
        <v>71914</v>
      </c>
      <c r="G26" s="42">
        <v>74071</v>
      </c>
      <c r="H26" s="26" t="s">
        <v>235</v>
      </c>
    </row>
    <row r="27" spans="1:8" x14ac:dyDescent="0.3">
      <c r="A27" s="27" t="s">
        <v>255</v>
      </c>
      <c r="B27" s="41">
        <v>30327</v>
      </c>
      <c r="C27" s="41">
        <v>31237</v>
      </c>
      <c r="D27" s="41">
        <v>32174</v>
      </c>
      <c r="E27" s="41">
        <v>33139</v>
      </c>
      <c r="F27" s="41">
        <v>34133</v>
      </c>
      <c r="G27" s="41">
        <v>35157</v>
      </c>
      <c r="H27" s="29" t="s">
        <v>235</v>
      </c>
    </row>
    <row r="28" spans="1:8" x14ac:dyDescent="0.3">
      <c r="A28" s="85" t="s">
        <v>256</v>
      </c>
      <c r="B28" s="86">
        <f>SUM(B16:B27)</f>
        <v>824315</v>
      </c>
      <c r="C28" s="86">
        <f t="shared" ref="C28:G28" si="3">SUM(C16:C27)</f>
        <v>890844.41249999998</v>
      </c>
      <c r="D28" s="86">
        <f t="shared" si="3"/>
        <v>1008501.80625</v>
      </c>
      <c r="E28" s="86">
        <f t="shared" si="3"/>
        <v>1343288.4479999999</v>
      </c>
      <c r="F28" s="86">
        <f t="shared" si="3"/>
        <v>1383784.21144</v>
      </c>
      <c r="G28" s="86">
        <f t="shared" si="3"/>
        <v>1424930.5777832</v>
      </c>
      <c r="H28" s="45"/>
    </row>
    <row r="30" spans="1:8" x14ac:dyDescent="0.3">
      <c r="A30" s="137" t="s">
        <v>257</v>
      </c>
      <c r="B30" s="127"/>
      <c r="C30" s="127"/>
      <c r="D30" s="127"/>
      <c r="E30" s="127"/>
      <c r="F30" s="127"/>
      <c r="G30" s="127"/>
      <c r="H30" s="127"/>
    </row>
    <row r="31" spans="1:8" ht="20.399999999999999" x14ac:dyDescent="0.3">
      <c r="A31" s="27" t="s">
        <v>258</v>
      </c>
      <c r="B31" s="41">
        <v>166000</v>
      </c>
      <c r="C31" s="41">
        <v>96885</v>
      </c>
      <c r="D31" s="41">
        <f>C31*1.03</f>
        <v>99791.55</v>
      </c>
      <c r="E31" s="41">
        <f t="shared" ref="E31:G31" si="4">D31*1.03</f>
        <v>102785.29650000001</v>
      </c>
      <c r="F31" s="41">
        <f t="shared" si="4"/>
        <v>105868.85539500002</v>
      </c>
      <c r="G31" s="41">
        <f t="shared" si="4"/>
        <v>109044.92105685003</v>
      </c>
      <c r="H31" s="29" t="s">
        <v>259</v>
      </c>
    </row>
    <row r="32" spans="1:8" ht="30.6" x14ac:dyDescent="0.3">
      <c r="A32" s="24" t="s">
        <v>260</v>
      </c>
      <c r="B32" s="42">
        <v>175000</v>
      </c>
      <c r="C32" s="42">
        <v>100000</v>
      </c>
      <c r="D32" s="42">
        <v>100000</v>
      </c>
      <c r="E32" s="42">
        <v>100000</v>
      </c>
      <c r="F32" s="42">
        <v>100000</v>
      </c>
      <c r="G32" s="42">
        <v>100000</v>
      </c>
      <c r="H32" s="26" t="s">
        <v>261</v>
      </c>
    </row>
    <row r="33" spans="1:8" ht="20.399999999999999" x14ac:dyDescent="0.3">
      <c r="A33" s="27" t="s">
        <v>262</v>
      </c>
      <c r="B33" s="41">
        <v>36954</v>
      </c>
      <c r="C33" s="41">
        <v>38063</v>
      </c>
      <c r="D33" s="41">
        <v>39205</v>
      </c>
      <c r="E33" s="41">
        <v>40381</v>
      </c>
      <c r="F33" s="41">
        <v>41593</v>
      </c>
      <c r="G33" s="41">
        <v>42841</v>
      </c>
      <c r="H33" s="29" t="s">
        <v>263</v>
      </c>
    </row>
    <row r="34" spans="1:8" x14ac:dyDescent="0.3">
      <c r="A34" s="24" t="s">
        <v>264</v>
      </c>
      <c r="B34" s="90">
        <v>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26" t="s">
        <v>265</v>
      </c>
    </row>
    <row r="35" spans="1:8" x14ac:dyDescent="0.3">
      <c r="A35" s="27" t="s">
        <v>266</v>
      </c>
      <c r="B35" s="41">
        <v>20000</v>
      </c>
      <c r="C35" s="41">
        <v>20600</v>
      </c>
      <c r="D35" s="41">
        <v>21218</v>
      </c>
      <c r="E35" s="41">
        <v>21855</v>
      </c>
      <c r="F35" s="41">
        <v>22510</v>
      </c>
      <c r="G35" s="41">
        <v>23185</v>
      </c>
      <c r="H35" s="29" t="s">
        <v>235</v>
      </c>
    </row>
    <row r="36" spans="1:8" x14ac:dyDescent="0.3">
      <c r="A36" s="24" t="s">
        <v>267</v>
      </c>
      <c r="B36" s="42">
        <v>18000</v>
      </c>
      <c r="C36" s="42">
        <v>18540</v>
      </c>
      <c r="D36" s="42">
        <v>19096</v>
      </c>
      <c r="E36" s="42">
        <v>19669</v>
      </c>
      <c r="F36" s="42">
        <v>20259</v>
      </c>
      <c r="G36" s="42">
        <v>20867</v>
      </c>
      <c r="H36" s="26" t="s">
        <v>235</v>
      </c>
    </row>
    <row r="37" spans="1:8" ht="40.799999999999997" x14ac:dyDescent="0.3">
      <c r="A37" s="27" t="s">
        <v>268</v>
      </c>
      <c r="B37" s="41">
        <v>62928</v>
      </c>
      <c r="C37" s="41">
        <v>62928</v>
      </c>
      <c r="D37" s="41">
        <v>0</v>
      </c>
      <c r="E37" s="41">
        <v>0</v>
      </c>
      <c r="F37" s="41">
        <v>0</v>
      </c>
      <c r="G37" s="41">
        <v>0</v>
      </c>
      <c r="H37" s="29" t="s">
        <v>269</v>
      </c>
    </row>
    <row r="38" spans="1:8" ht="20.399999999999999" x14ac:dyDescent="0.3">
      <c r="A38" s="24" t="s">
        <v>270</v>
      </c>
      <c r="B38" s="42">
        <v>-143149</v>
      </c>
      <c r="C38" s="42">
        <v>49723</v>
      </c>
      <c r="D38" s="42">
        <v>2481</v>
      </c>
      <c r="E38" s="42">
        <v>-2905</v>
      </c>
      <c r="F38" s="42">
        <v>4638</v>
      </c>
      <c r="G38" s="42">
        <v>9107</v>
      </c>
      <c r="H38" s="26" t="s">
        <v>271</v>
      </c>
    </row>
    <row r="39" spans="1:8" x14ac:dyDescent="0.3">
      <c r="A39" s="85" t="s">
        <v>272</v>
      </c>
      <c r="B39" s="86">
        <f>SUM(B31:B38)</f>
        <v>335733</v>
      </c>
      <c r="C39" s="86">
        <f t="shared" ref="C39:G39" si="5">SUM(C31:C38)</f>
        <v>386739</v>
      </c>
      <c r="D39" s="86">
        <f t="shared" si="5"/>
        <v>281791.55</v>
      </c>
      <c r="E39" s="86">
        <f t="shared" si="5"/>
        <v>281785.2965</v>
      </c>
      <c r="F39" s="86">
        <f t="shared" si="5"/>
        <v>294868.85539500002</v>
      </c>
      <c r="G39" s="86">
        <f t="shared" si="5"/>
        <v>305044.92105685</v>
      </c>
      <c r="H39" s="45"/>
    </row>
    <row r="41" spans="1:8" x14ac:dyDescent="0.3">
      <c r="A41" s="85" t="s">
        <v>26</v>
      </c>
      <c r="B41" s="86">
        <f>B13+B28+B39</f>
        <v>2337746</v>
      </c>
      <c r="C41" s="86">
        <f t="shared" ref="C41:G41" si="6">C13+C28+C39</f>
        <v>2531656.4125000001</v>
      </c>
      <c r="D41" s="86">
        <f t="shared" si="6"/>
        <v>2592268.65625</v>
      </c>
      <c r="E41" s="86">
        <f t="shared" si="6"/>
        <v>2966025.5035000001</v>
      </c>
      <c r="F41" s="86">
        <f t="shared" si="6"/>
        <v>3059943.4786049998</v>
      </c>
      <c r="G41" s="86">
        <f t="shared" si="6"/>
        <v>3153022.9729631497</v>
      </c>
      <c r="H41" s="45"/>
    </row>
    <row r="43" spans="1:8" ht="20.399999999999999" x14ac:dyDescent="0.3">
      <c r="A43" s="91" t="s">
        <v>273</v>
      </c>
      <c r="B43" s="92">
        <f>'Revenue Detail'!B35-'Expense Detail'!B41</f>
        <v>276371</v>
      </c>
      <c r="C43" s="92">
        <f>'Revenue Detail'!C35-'Expense Detail'!C41</f>
        <v>183957.58749999991</v>
      </c>
      <c r="D43" s="92">
        <f>'Revenue Detail'!D35-'Expense Detail'!D41</f>
        <v>776262.28374999994</v>
      </c>
      <c r="E43" s="92">
        <f>'Revenue Detail'!E35-'Expense Detail'!E41</f>
        <v>826827.50469999993</v>
      </c>
      <c r="F43" s="92">
        <f>'Revenue Detail'!F35-'Expense Detail'!F41</f>
        <v>1052512.059841</v>
      </c>
      <c r="G43" s="92">
        <f>'Revenue Detail'!G35-'Expense Detail'!G41</f>
        <v>1312765.1716362303</v>
      </c>
      <c r="H43" s="93" t="s">
        <v>274</v>
      </c>
    </row>
  </sheetData>
  <mergeCells count="5">
    <mergeCell ref="A4:H4"/>
    <mergeCell ref="A30:H30"/>
    <mergeCell ref="A15:H15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34155"/>
  </sheetPr>
  <dimension ref="A1:K54"/>
  <sheetViews>
    <sheetView showGridLines="0" topLeftCell="A30" zoomScaleNormal="100" workbookViewId="0">
      <selection activeCell="H61" sqref="H61"/>
    </sheetView>
  </sheetViews>
  <sheetFormatPr defaultRowHeight="14.4" x14ac:dyDescent="0.3"/>
  <cols>
    <col min="1" max="1" width="47.6640625" bestFit="1" customWidth="1"/>
    <col min="2" max="2" width="4.6640625" bestFit="1" customWidth="1"/>
    <col min="3" max="3" width="9.88671875" bestFit="1" customWidth="1"/>
    <col min="4" max="4" width="7.88671875" bestFit="1" customWidth="1"/>
    <col min="5" max="5" width="10.109375" bestFit="1" customWidth="1"/>
    <col min="6" max="6" width="10.33203125" bestFit="1" customWidth="1"/>
    <col min="7" max="7" width="22.33203125" bestFit="1" customWidth="1"/>
    <col min="8" max="8" width="15.5546875" bestFit="1" customWidth="1"/>
    <col min="9" max="9" width="11.5546875" style="110" bestFit="1" customWidth="1"/>
    <col min="11" max="11" width="14.6640625" bestFit="1" customWidth="1"/>
  </cols>
  <sheetData>
    <row r="1" spans="1:8" x14ac:dyDescent="0.3">
      <c r="A1" s="138" t="s">
        <v>275</v>
      </c>
      <c r="B1" s="127"/>
      <c r="C1" s="127"/>
      <c r="D1" s="127"/>
      <c r="E1" s="127"/>
      <c r="F1" s="127"/>
      <c r="G1" s="127"/>
      <c r="H1" s="127"/>
    </row>
    <row r="2" spans="1:8" ht="15" thickBot="1" x14ac:dyDescent="0.35">
      <c r="A2" s="136" t="s">
        <v>276</v>
      </c>
      <c r="B2" s="127"/>
      <c r="C2" s="127"/>
      <c r="D2" s="127"/>
      <c r="E2" s="127"/>
      <c r="F2" s="127"/>
      <c r="G2" s="127"/>
      <c r="H2" s="127"/>
    </row>
    <row r="3" spans="1:8" ht="15" thickBot="1" x14ac:dyDescent="0.35">
      <c r="A3" s="2" t="s">
        <v>277</v>
      </c>
      <c r="B3" s="2" t="s">
        <v>278</v>
      </c>
      <c r="C3" s="2" t="s">
        <v>279</v>
      </c>
      <c r="D3" s="2" t="s">
        <v>280</v>
      </c>
      <c r="E3" s="2" t="s">
        <v>281</v>
      </c>
      <c r="F3" s="2" t="s">
        <v>282</v>
      </c>
      <c r="G3" s="2" t="s">
        <v>283</v>
      </c>
      <c r="H3" s="2" t="s">
        <v>53</v>
      </c>
    </row>
    <row r="4" spans="1:8" x14ac:dyDescent="0.3">
      <c r="A4" s="137" t="s">
        <v>284</v>
      </c>
      <c r="B4" s="127"/>
      <c r="C4" s="127"/>
      <c r="D4" s="127"/>
      <c r="E4" s="127"/>
      <c r="F4" s="127"/>
      <c r="G4" s="127"/>
      <c r="H4" s="127"/>
    </row>
    <row r="5" spans="1:8" x14ac:dyDescent="0.3">
      <c r="A5" s="94" t="s">
        <v>285</v>
      </c>
      <c r="B5" s="95" t="s">
        <v>286</v>
      </c>
      <c r="C5" s="96">
        <v>150000</v>
      </c>
      <c r="D5" s="96">
        <v>82790</v>
      </c>
      <c r="E5" s="96">
        <v>11475</v>
      </c>
      <c r="F5" s="96">
        <v>244265</v>
      </c>
      <c r="G5" s="35" t="s">
        <v>287</v>
      </c>
      <c r="H5" s="97" t="s">
        <v>288</v>
      </c>
    </row>
    <row r="6" spans="1:8" x14ac:dyDescent="0.3">
      <c r="A6" s="98" t="s">
        <v>289</v>
      </c>
      <c r="B6" s="23" t="s">
        <v>286</v>
      </c>
      <c r="C6" s="90">
        <v>30000</v>
      </c>
      <c r="D6" s="99">
        <v>0</v>
      </c>
      <c r="E6" s="90">
        <v>0</v>
      </c>
      <c r="F6" s="90">
        <v>30000</v>
      </c>
      <c r="G6" s="100" t="s">
        <v>287</v>
      </c>
      <c r="H6" s="101" t="s">
        <v>288</v>
      </c>
    </row>
    <row r="7" spans="1:8" x14ac:dyDescent="0.3">
      <c r="A7" s="94" t="s">
        <v>290</v>
      </c>
      <c r="B7" s="95" t="s">
        <v>286</v>
      </c>
      <c r="C7" s="96">
        <v>12000</v>
      </c>
      <c r="D7" s="102">
        <v>0</v>
      </c>
      <c r="E7" s="96">
        <v>918</v>
      </c>
      <c r="F7" s="96">
        <v>12918</v>
      </c>
      <c r="G7" s="35" t="s">
        <v>287</v>
      </c>
      <c r="H7" s="97" t="s">
        <v>288</v>
      </c>
    </row>
    <row r="8" spans="1:8" x14ac:dyDescent="0.3">
      <c r="A8" s="98" t="s">
        <v>291</v>
      </c>
      <c r="B8" s="23" t="s">
        <v>286</v>
      </c>
      <c r="C8" s="90">
        <v>35360</v>
      </c>
      <c r="D8" s="99">
        <v>0</v>
      </c>
      <c r="E8" s="90">
        <v>2705</v>
      </c>
      <c r="F8" s="90">
        <v>38065</v>
      </c>
      <c r="G8" s="100" t="s">
        <v>287</v>
      </c>
      <c r="H8" s="101" t="s">
        <v>288</v>
      </c>
    </row>
    <row r="9" spans="1:8" x14ac:dyDescent="0.3">
      <c r="A9" s="18" t="s">
        <v>292</v>
      </c>
      <c r="B9" s="14"/>
      <c r="C9" s="14"/>
      <c r="D9" s="14"/>
      <c r="E9" s="14"/>
      <c r="F9" s="103">
        <v>325248</v>
      </c>
      <c r="G9" s="14"/>
      <c r="H9" s="14"/>
    </row>
    <row r="10" spans="1:8" x14ac:dyDescent="0.3">
      <c r="A10" s="137" t="s">
        <v>293</v>
      </c>
      <c r="B10" s="127"/>
      <c r="C10" s="127"/>
      <c r="D10" s="127"/>
      <c r="E10" s="127"/>
      <c r="F10" s="127"/>
      <c r="G10" s="127"/>
      <c r="H10" s="127"/>
    </row>
    <row r="11" spans="1:8" x14ac:dyDescent="0.3">
      <c r="A11" s="94" t="s">
        <v>294</v>
      </c>
      <c r="B11" s="95" t="s">
        <v>296</v>
      </c>
      <c r="C11" s="96">
        <v>115000</v>
      </c>
      <c r="D11" s="96">
        <v>23000</v>
      </c>
      <c r="E11" s="96">
        <v>8797</v>
      </c>
      <c r="F11" s="96">
        <v>146797</v>
      </c>
      <c r="G11" s="35" t="s">
        <v>287</v>
      </c>
      <c r="H11" s="101" t="s">
        <v>297</v>
      </c>
    </row>
    <row r="12" spans="1:8" x14ac:dyDescent="0.3">
      <c r="A12" s="98" t="s">
        <v>295</v>
      </c>
      <c r="B12" s="23" t="s">
        <v>296</v>
      </c>
      <c r="C12" s="90">
        <v>25000</v>
      </c>
      <c r="D12" s="99">
        <v>0</v>
      </c>
      <c r="E12" s="90">
        <v>0</v>
      </c>
      <c r="F12" s="90">
        <v>25000</v>
      </c>
      <c r="G12" s="100" t="s">
        <v>287</v>
      </c>
      <c r="H12" s="101" t="s">
        <v>297</v>
      </c>
    </row>
    <row r="13" spans="1:8" x14ac:dyDescent="0.3">
      <c r="A13" s="98" t="s">
        <v>299</v>
      </c>
      <c r="B13" s="23" t="s">
        <v>296</v>
      </c>
      <c r="C13" s="90">
        <v>90000</v>
      </c>
      <c r="D13" s="99">
        <v>0</v>
      </c>
      <c r="E13" s="90">
        <v>6885</v>
      </c>
      <c r="F13" s="90">
        <v>96885</v>
      </c>
      <c r="G13" s="100" t="s">
        <v>287</v>
      </c>
      <c r="H13" s="101" t="s">
        <v>297</v>
      </c>
    </row>
    <row r="14" spans="1:8" x14ac:dyDescent="0.3">
      <c r="A14" s="104" t="s">
        <v>300</v>
      </c>
      <c r="B14" s="105" t="s">
        <v>296</v>
      </c>
      <c r="C14" s="106">
        <v>35000</v>
      </c>
      <c r="D14" s="106">
        <v>0</v>
      </c>
      <c r="E14" s="106">
        <v>2677</v>
      </c>
      <c r="F14" s="106">
        <v>37677</v>
      </c>
      <c r="G14" s="105" t="s">
        <v>301</v>
      </c>
      <c r="H14" s="107" t="s">
        <v>297</v>
      </c>
    </row>
    <row r="15" spans="1:8" x14ac:dyDescent="0.3">
      <c r="A15" s="104" t="s">
        <v>302</v>
      </c>
      <c r="B15" s="105" t="s">
        <v>296</v>
      </c>
      <c r="C15" s="106">
        <v>120000</v>
      </c>
      <c r="D15" s="106">
        <v>0</v>
      </c>
      <c r="E15" s="106">
        <v>9180</v>
      </c>
      <c r="F15" s="106">
        <v>129180</v>
      </c>
      <c r="G15" s="105" t="s">
        <v>301</v>
      </c>
      <c r="H15" s="107" t="s">
        <v>297</v>
      </c>
    </row>
    <row r="16" spans="1:8" x14ac:dyDescent="0.3">
      <c r="A16" s="104" t="s">
        <v>298</v>
      </c>
      <c r="B16" s="105" t="s">
        <v>296</v>
      </c>
      <c r="C16" s="106">
        <v>30000</v>
      </c>
      <c r="D16" s="106">
        <v>0</v>
      </c>
      <c r="E16" s="106">
        <v>3825</v>
      </c>
      <c r="F16" s="106">
        <v>53825</v>
      </c>
      <c r="G16" s="105" t="s">
        <v>337</v>
      </c>
      <c r="H16" s="107" t="s">
        <v>297</v>
      </c>
    </row>
    <row r="17" spans="1:11" x14ac:dyDescent="0.3">
      <c r="A17" s="18" t="s">
        <v>303</v>
      </c>
      <c r="B17" s="14"/>
      <c r="C17" s="14"/>
      <c r="D17" s="14"/>
      <c r="E17" s="14"/>
      <c r="F17" s="103">
        <v>268682</v>
      </c>
      <c r="G17" s="14"/>
      <c r="H17" s="14"/>
    </row>
    <row r="18" spans="1:11" x14ac:dyDescent="0.3">
      <c r="A18" s="137" t="s">
        <v>304</v>
      </c>
      <c r="B18" s="127"/>
      <c r="C18" s="127"/>
      <c r="D18" s="127"/>
      <c r="E18" s="127"/>
      <c r="F18" s="127"/>
      <c r="G18" s="127"/>
      <c r="H18" s="127"/>
    </row>
    <row r="19" spans="1:11" x14ac:dyDescent="0.3">
      <c r="A19" s="104" t="s">
        <v>305</v>
      </c>
      <c r="B19" s="105" t="s">
        <v>286</v>
      </c>
      <c r="C19" s="106">
        <v>90000</v>
      </c>
      <c r="D19" s="106">
        <v>18000</v>
      </c>
      <c r="E19" s="106">
        <v>6885</v>
      </c>
      <c r="F19" s="106">
        <v>114885</v>
      </c>
      <c r="G19" s="105" t="s">
        <v>306</v>
      </c>
      <c r="H19" s="107" t="s">
        <v>288</v>
      </c>
    </row>
    <row r="20" spans="1:11" ht="22.8" x14ac:dyDescent="0.3">
      <c r="A20" s="118" t="s">
        <v>341</v>
      </c>
      <c r="B20" s="23" t="s">
        <v>286</v>
      </c>
      <c r="C20" s="96">
        <v>55000</v>
      </c>
      <c r="D20" s="102">
        <v>0</v>
      </c>
      <c r="E20" s="96">
        <v>4207</v>
      </c>
      <c r="F20" s="96">
        <v>59207</v>
      </c>
      <c r="G20" s="100" t="s">
        <v>287</v>
      </c>
      <c r="H20" s="101" t="s">
        <v>288</v>
      </c>
    </row>
    <row r="21" spans="1:11" x14ac:dyDescent="0.3">
      <c r="A21" s="18" t="s">
        <v>307</v>
      </c>
      <c r="B21" s="14"/>
      <c r="C21" s="14"/>
      <c r="D21" s="14"/>
      <c r="E21" s="14"/>
      <c r="F21" s="103">
        <v>59207</v>
      </c>
      <c r="G21" s="14"/>
      <c r="H21" s="14"/>
    </row>
    <row r="22" spans="1:11" x14ac:dyDescent="0.3">
      <c r="A22" s="137" t="s">
        <v>308</v>
      </c>
      <c r="B22" s="127"/>
      <c r="C22" s="127"/>
      <c r="D22" s="127"/>
      <c r="E22" s="127"/>
      <c r="F22" s="127"/>
      <c r="G22" s="127"/>
      <c r="H22" s="127"/>
    </row>
    <row r="23" spans="1:11" x14ac:dyDescent="0.3">
      <c r="A23" s="94" t="s">
        <v>309</v>
      </c>
      <c r="B23" s="95" t="s">
        <v>286</v>
      </c>
      <c r="C23" s="96">
        <v>55000</v>
      </c>
      <c r="D23" s="102">
        <v>0</v>
      </c>
      <c r="E23" s="96">
        <v>4207</v>
      </c>
      <c r="F23" s="96">
        <v>59207</v>
      </c>
      <c r="G23" s="35" t="s">
        <v>287</v>
      </c>
      <c r="H23" s="97" t="s">
        <v>288</v>
      </c>
    </row>
    <row r="24" spans="1:11" x14ac:dyDescent="0.3">
      <c r="A24" s="117" t="s">
        <v>340</v>
      </c>
      <c r="B24" s="95" t="s">
        <v>286</v>
      </c>
      <c r="C24" s="96">
        <v>55000</v>
      </c>
      <c r="D24" s="102">
        <v>0</v>
      </c>
      <c r="E24" s="96">
        <v>4207</v>
      </c>
      <c r="F24" s="96">
        <v>59207</v>
      </c>
      <c r="G24" s="35" t="s">
        <v>287</v>
      </c>
      <c r="H24" s="97" t="s">
        <v>288</v>
      </c>
    </row>
    <row r="25" spans="1:11" x14ac:dyDescent="0.3">
      <c r="A25" s="104" t="s">
        <v>312</v>
      </c>
      <c r="B25" s="105" t="s">
        <v>286</v>
      </c>
      <c r="C25" s="106">
        <v>115000</v>
      </c>
      <c r="D25" s="106">
        <v>0</v>
      </c>
      <c r="E25" s="106">
        <v>8797</v>
      </c>
      <c r="F25" s="106">
        <v>123797</v>
      </c>
      <c r="G25" s="105" t="s">
        <v>313</v>
      </c>
      <c r="H25" s="107" t="s">
        <v>288</v>
      </c>
      <c r="K25" s="119"/>
    </row>
    <row r="26" spans="1:11" x14ac:dyDescent="0.3">
      <c r="A26" s="104" t="s">
        <v>310</v>
      </c>
      <c r="B26" s="105" t="s">
        <v>286</v>
      </c>
      <c r="C26" s="106">
        <v>24000</v>
      </c>
      <c r="D26" s="106">
        <v>0</v>
      </c>
      <c r="E26" s="106">
        <v>1836</v>
      </c>
      <c r="F26" s="106">
        <v>25836</v>
      </c>
      <c r="G26" s="105" t="s">
        <v>337</v>
      </c>
      <c r="H26" s="107" t="s">
        <v>288</v>
      </c>
    </row>
    <row r="27" spans="1:11" x14ac:dyDescent="0.3">
      <c r="A27" s="104" t="s">
        <v>311</v>
      </c>
      <c r="B27" s="105" t="s">
        <v>286</v>
      </c>
      <c r="C27" s="106">
        <v>24000</v>
      </c>
      <c r="D27" s="106">
        <v>0</v>
      </c>
      <c r="E27" s="106">
        <v>1836</v>
      </c>
      <c r="F27" s="106">
        <v>25836</v>
      </c>
      <c r="G27" s="105" t="s">
        <v>337</v>
      </c>
      <c r="H27" s="107" t="s">
        <v>288</v>
      </c>
    </row>
    <row r="28" spans="1:11" x14ac:dyDescent="0.3">
      <c r="A28" s="115" t="s">
        <v>342</v>
      </c>
      <c r="B28" s="105" t="s">
        <v>286</v>
      </c>
      <c r="C28" s="106">
        <v>75000</v>
      </c>
      <c r="D28" s="106">
        <v>0</v>
      </c>
      <c r="E28" s="106">
        <v>1836</v>
      </c>
      <c r="F28" s="106">
        <v>25836</v>
      </c>
      <c r="G28" s="105" t="s">
        <v>337</v>
      </c>
      <c r="H28" s="107" t="s">
        <v>288</v>
      </c>
    </row>
    <row r="29" spans="1:11" x14ac:dyDescent="0.3">
      <c r="A29" s="18" t="s">
        <v>314</v>
      </c>
      <c r="B29" s="14"/>
      <c r="C29" s="14"/>
      <c r="D29" s="14"/>
      <c r="E29" s="14"/>
      <c r="F29" s="103">
        <v>118414</v>
      </c>
      <c r="G29" s="14"/>
      <c r="H29" s="14"/>
    </row>
    <row r="30" spans="1:11" x14ac:dyDescent="0.3">
      <c r="A30" s="137" t="s">
        <v>315</v>
      </c>
      <c r="B30" s="127"/>
      <c r="C30" s="127"/>
      <c r="D30" s="127"/>
      <c r="E30" s="127"/>
      <c r="F30" s="127"/>
      <c r="G30" s="127"/>
      <c r="H30" s="127"/>
    </row>
    <row r="31" spans="1:11" x14ac:dyDescent="0.3">
      <c r="A31" s="94" t="s">
        <v>316</v>
      </c>
      <c r="B31" s="95" t="s">
        <v>286</v>
      </c>
      <c r="C31" s="96">
        <v>18000</v>
      </c>
      <c r="D31" s="102">
        <v>0</v>
      </c>
      <c r="E31" s="96">
        <v>1377</v>
      </c>
      <c r="F31" s="96">
        <v>19377</v>
      </c>
      <c r="G31" s="35" t="s">
        <v>287</v>
      </c>
      <c r="H31" s="97" t="s">
        <v>288</v>
      </c>
    </row>
    <row r="32" spans="1:11" x14ac:dyDescent="0.3">
      <c r="A32" s="98" t="s">
        <v>317</v>
      </c>
      <c r="B32" s="23" t="s">
        <v>286</v>
      </c>
      <c r="C32" s="90">
        <v>14400</v>
      </c>
      <c r="D32" s="99">
        <v>0</v>
      </c>
      <c r="E32" s="90">
        <v>1147</v>
      </c>
      <c r="F32" s="90">
        <v>16147</v>
      </c>
      <c r="G32" s="100" t="s">
        <v>287</v>
      </c>
      <c r="H32" s="101" t="s">
        <v>288</v>
      </c>
    </row>
    <row r="33" spans="1:8" x14ac:dyDescent="0.3">
      <c r="A33" s="94" t="s">
        <v>322</v>
      </c>
      <c r="B33" s="95" t="s">
        <v>319</v>
      </c>
      <c r="C33" s="96">
        <v>90000</v>
      </c>
      <c r="D33" s="102">
        <v>0</v>
      </c>
      <c r="E33" s="96">
        <v>6885</v>
      </c>
      <c r="F33" s="96">
        <v>96885</v>
      </c>
      <c r="G33" s="35" t="s">
        <v>287</v>
      </c>
      <c r="H33" s="97" t="s">
        <v>320</v>
      </c>
    </row>
    <row r="34" spans="1:8" x14ac:dyDescent="0.3">
      <c r="A34" s="98" t="s">
        <v>323</v>
      </c>
      <c r="B34" s="23" t="s">
        <v>296</v>
      </c>
      <c r="C34" s="90">
        <v>28800</v>
      </c>
      <c r="D34" s="99">
        <v>0</v>
      </c>
      <c r="E34" s="90">
        <v>2203</v>
      </c>
      <c r="F34" s="90">
        <v>31003</v>
      </c>
      <c r="G34" s="100" t="s">
        <v>287</v>
      </c>
      <c r="H34" s="101" t="s">
        <v>297</v>
      </c>
    </row>
    <row r="35" spans="1:8" x14ac:dyDescent="0.3">
      <c r="A35" s="94" t="s">
        <v>324</v>
      </c>
      <c r="B35" s="95" t="s">
        <v>296</v>
      </c>
      <c r="C35" s="96">
        <v>14400</v>
      </c>
      <c r="D35" s="102">
        <v>0</v>
      </c>
      <c r="E35" s="96">
        <v>0</v>
      </c>
      <c r="F35" s="96">
        <v>14400</v>
      </c>
      <c r="G35" s="35" t="s">
        <v>287</v>
      </c>
      <c r="H35" s="97" t="s">
        <v>297</v>
      </c>
    </row>
    <row r="36" spans="1:8" x14ac:dyDescent="0.3">
      <c r="A36" s="104" t="s">
        <v>325</v>
      </c>
      <c r="B36" s="105" t="s">
        <v>286</v>
      </c>
      <c r="C36" s="106">
        <v>115000</v>
      </c>
      <c r="D36" s="106">
        <v>0</v>
      </c>
      <c r="E36" s="106">
        <v>8797</v>
      </c>
      <c r="F36" s="106">
        <v>123797</v>
      </c>
      <c r="G36" s="105" t="s">
        <v>313</v>
      </c>
      <c r="H36" s="107" t="s">
        <v>288</v>
      </c>
    </row>
    <row r="37" spans="1:8" x14ac:dyDescent="0.3">
      <c r="A37" s="104" t="s">
        <v>318</v>
      </c>
      <c r="B37" s="114" t="s">
        <v>319</v>
      </c>
      <c r="C37" s="113">
        <v>36000</v>
      </c>
      <c r="D37" s="113">
        <v>0</v>
      </c>
      <c r="E37" s="113">
        <v>2754</v>
      </c>
      <c r="F37" s="113">
        <v>38754</v>
      </c>
      <c r="G37" s="112" t="s">
        <v>337</v>
      </c>
      <c r="H37" s="111" t="s">
        <v>320</v>
      </c>
    </row>
    <row r="38" spans="1:8" x14ac:dyDescent="0.3">
      <c r="A38" s="104" t="s">
        <v>321</v>
      </c>
      <c r="B38" s="114" t="s">
        <v>319</v>
      </c>
      <c r="C38" s="113">
        <v>28288</v>
      </c>
      <c r="D38" s="113">
        <v>0</v>
      </c>
      <c r="E38" s="113">
        <v>2164</v>
      </c>
      <c r="F38" s="113">
        <v>30452</v>
      </c>
      <c r="G38" s="112" t="s">
        <v>337</v>
      </c>
      <c r="H38" s="111" t="s">
        <v>320</v>
      </c>
    </row>
    <row r="39" spans="1:8" x14ac:dyDescent="0.3">
      <c r="A39" s="18" t="s">
        <v>326</v>
      </c>
      <c r="B39" s="14"/>
      <c r="C39" s="14"/>
      <c r="D39" s="14"/>
      <c r="E39" s="14"/>
      <c r="F39" s="103">
        <v>177812</v>
      </c>
      <c r="G39" s="14"/>
      <c r="H39" s="14"/>
    </row>
    <row r="40" spans="1:8" x14ac:dyDescent="0.3">
      <c r="A40" s="137" t="s">
        <v>327</v>
      </c>
      <c r="B40" s="127"/>
      <c r="C40" s="127"/>
      <c r="D40" s="127"/>
      <c r="E40" s="127"/>
      <c r="F40" s="127"/>
      <c r="G40" s="127"/>
      <c r="H40" s="127"/>
    </row>
    <row r="41" spans="1:8" x14ac:dyDescent="0.3">
      <c r="A41" s="94" t="s">
        <v>328</v>
      </c>
      <c r="B41" s="95" t="s">
        <v>296</v>
      </c>
      <c r="C41" s="96">
        <v>36000</v>
      </c>
      <c r="D41" s="102">
        <v>0</v>
      </c>
      <c r="E41" s="96">
        <v>2677</v>
      </c>
      <c r="F41" s="96">
        <v>37677</v>
      </c>
      <c r="G41" s="35" t="s">
        <v>287</v>
      </c>
      <c r="H41" s="97" t="s">
        <v>297</v>
      </c>
    </row>
    <row r="42" spans="1:8" x14ac:dyDescent="0.3">
      <c r="A42" s="116" t="s">
        <v>339</v>
      </c>
      <c r="B42" s="23" t="s">
        <v>296</v>
      </c>
      <c r="C42" s="90">
        <v>24000</v>
      </c>
      <c r="D42" s="99">
        <v>0</v>
      </c>
      <c r="E42" s="90">
        <v>4590</v>
      </c>
      <c r="F42" s="90">
        <v>64590</v>
      </c>
      <c r="G42" s="100" t="s">
        <v>287</v>
      </c>
      <c r="H42" s="101" t="s">
        <v>297</v>
      </c>
    </row>
    <row r="43" spans="1:8" x14ac:dyDescent="0.3">
      <c r="A43" s="115" t="s">
        <v>338</v>
      </c>
      <c r="B43" s="105" t="s">
        <v>296</v>
      </c>
      <c r="C43" s="106">
        <v>10800</v>
      </c>
      <c r="D43" s="106">
        <v>0</v>
      </c>
      <c r="E43" s="106">
        <v>826</v>
      </c>
      <c r="F43" s="106">
        <v>11626</v>
      </c>
      <c r="G43" s="105" t="s">
        <v>337</v>
      </c>
      <c r="H43" s="107" t="s">
        <v>297</v>
      </c>
    </row>
    <row r="44" spans="1:8" x14ac:dyDescent="0.3">
      <c r="A44" s="18" t="s">
        <v>329</v>
      </c>
      <c r="B44" s="14"/>
      <c r="C44" s="14"/>
      <c r="D44" s="14"/>
      <c r="E44" s="14"/>
      <c r="F44" s="103">
        <v>102267</v>
      </c>
      <c r="G44" s="14"/>
      <c r="H44" s="14"/>
    </row>
    <row r="45" spans="1:8" x14ac:dyDescent="0.3">
      <c r="A45" s="137" t="s">
        <v>330</v>
      </c>
      <c r="B45" s="127"/>
      <c r="C45" s="127"/>
      <c r="D45" s="127"/>
      <c r="E45" s="127"/>
      <c r="F45" s="127"/>
      <c r="G45" s="127"/>
      <c r="H45" s="127"/>
    </row>
    <row r="46" spans="1:8" x14ac:dyDescent="0.3">
      <c r="A46" s="104" t="s">
        <v>331</v>
      </c>
      <c r="B46" s="105" t="s">
        <v>296</v>
      </c>
      <c r="C46" s="106">
        <v>115000</v>
      </c>
      <c r="D46" s="106">
        <v>0</v>
      </c>
      <c r="E46" s="106">
        <v>8797</v>
      </c>
      <c r="F46" s="106">
        <v>123797</v>
      </c>
      <c r="G46" s="105" t="s">
        <v>332</v>
      </c>
      <c r="H46" s="107" t="s">
        <v>297</v>
      </c>
    </row>
    <row r="47" spans="1:8" x14ac:dyDescent="0.3">
      <c r="A47" s="104" t="s">
        <v>333</v>
      </c>
      <c r="B47" s="105" t="s">
        <v>296</v>
      </c>
      <c r="C47" s="106">
        <v>45000</v>
      </c>
      <c r="D47" s="106">
        <v>0</v>
      </c>
      <c r="E47" s="106">
        <v>3442</v>
      </c>
      <c r="F47" s="106">
        <v>48442</v>
      </c>
      <c r="G47" s="105" t="s">
        <v>332</v>
      </c>
      <c r="H47" s="107" t="s">
        <v>297</v>
      </c>
    </row>
    <row r="48" spans="1:8" x14ac:dyDescent="0.3">
      <c r="A48" s="104" t="s">
        <v>334</v>
      </c>
      <c r="B48" s="105" t="s">
        <v>296</v>
      </c>
      <c r="C48" s="106">
        <v>45000</v>
      </c>
      <c r="D48" s="106">
        <v>0</v>
      </c>
      <c r="E48" s="106">
        <v>3442</v>
      </c>
      <c r="F48" s="106">
        <v>48442</v>
      </c>
      <c r="G48" s="105" t="s">
        <v>313</v>
      </c>
      <c r="H48" s="107" t="s">
        <v>297</v>
      </c>
    </row>
    <row r="49" spans="1:9" x14ac:dyDescent="0.3">
      <c r="A49" s="18" t="s">
        <v>335</v>
      </c>
      <c r="B49" s="14"/>
      <c r="C49" s="14"/>
      <c r="D49" s="14"/>
      <c r="E49" s="14"/>
      <c r="F49" s="103">
        <v>0</v>
      </c>
      <c r="G49" s="14"/>
      <c r="H49" s="14"/>
    </row>
    <row r="50" spans="1:9" ht="15" thickBot="1" x14ac:dyDescent="0.35"/>
    <row r="51" spans="1:9" ht="15" thickBot="1" x14ac:dyDescent="0.35">
      <c r="A51" s="6" t="s">
        <v>336</v>
      </c>
      <c r="B51" s="108"/>
      <c r="C51" s="108"/>
      <c r="D51" s="108"/>
      <c r="E51" s="108"/>
      <c r="F51" s="109">
        <f>F9+F17+F21+F29+F39+F44+F49</f>
        <v>1051630</v>
      </c>
      <c r="G51" s="108"/>
      <c r="H51" s="108"/>
    </row>
    <row r="54" spans="1:9" x14ac:dyDescent="0.3">
      <c r="H54" s="110"/>
      <c r="I54"/>
    </row>
  </sheetData>
  <autoFilter ref="A3:H49" xr:uid="{00000000-0001-0000-0600-000000000000}"/>
  <mergeCells count="9">
    <mergeCell ref="A1:H1"/>
    <mergeCell ref="A22:H22"/>
    <mergeCell ref="A18:H18"/>
    <mergeCell ref="A4:H4"/>
    <mergeCell ref="A45:H45"/>
    <mergeCell ref="A40:H40"/>
    <mergeCell ref="A2:H2"/>
    <mergeCell ref="A10:H10"/>
    <mergeCell ref="A30:H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Summary</vt:lpstr>
      <vt:lpstr>Assumptions</vt:lpstr>
      <vt:lpstr>Revenue Detail</vt:lpstr>
      <vt:lpstr>Housing Scenarios</vt:lpstr>
      <vt:lpstr>Annual Report</vt:lpstr>
      <vt:lpstr>Expense Detail</vt:lpstr>
      <vt:lpstr>Personnel Model</vt:lpstr>
      <vt:lpstr>'Annual Report'!Print_Area</vt:lpstr>
      <vt:lpstr>Summary!Print_Area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Aliman Neal</cp:lastModifiedBy>
  <dcterms:created xsi:type="dcterms:W3CDTF">2026-04-02T17:19:59Z</dcterms:created>
  <dcterms:modified xsi:type="dcterms:W3CDTF">2026-04-23T23:50:34Z</dcterms:modified>
</cp:coreProperties>
</file>