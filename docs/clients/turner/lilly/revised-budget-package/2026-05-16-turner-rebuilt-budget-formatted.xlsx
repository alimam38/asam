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ine-Item Budget" sheetId="1" state="visible" r:id="rId1"/>
    <sheet xmlns:r="http://schemas.openxmlformats.org/officeDocument/2006/relationships" name="Summary Budget" sheetId="2" state="visible" r:id="rId2"/>
    <sheet xmlns:r="http://schemas.openxmlformats.org/officeDocument/2006/relationships" name="Narrative Alignment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\$#,##0;&quot;($&quot;#,##0\);\-"/>
    <numFmt numFmtId="165" formatCode="$#,##0"/>
  </numFmts>
  <fonts count="11">
    <font>
      <name val="Arial"/>
      <color rgb="00000000"/>
      <sz val="11"/>
      <scheme val="minor"/>
    </font>
    <font>
      <name val="Arial"/>
      <b val="1"/>
      <sz val="14"/>
    </font>
    <font>
      <name val="Arial"/>
      <i val="1"/>
      <sz val="11"/>
    </font>
    <font>
      <name val="Arial"/>
      <b val="1"/>
      <sz val="10"/>
    </font>
    <font>
      <name val="Calibri"/>
      <sz val="11"/>
    </font>
    <font>
      <name val="Arial"/>
      <b val="1"/>
      <sz val="11"/>
    </font>
    <font>
      <name val="Arial"/>
      <sz val="10"/>
    </font>
    <font>
      <name val="Arial"/>
      <b val="1"/>
      <sz val="12"/>
    </font>
    <font>
      <name val="Arial"/>
      <b val="1"/>
      <color rgb="FF374151"/>
      <sz val="10"/>
    </font>
    <font>
      <b val="1"/>
    </font>
    <font>
      <b val="1"/>
      <sz val="14"/>
    </font>
  </fonts>
  <fills count="2">
    <fill>
      <patternFill/>
    </fill>
    <fill>
      <patternFill patternType="lightGray"/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vertical="center" wrapText="1"/>
    </xf>
    <xf numFmtId="164" fontId="6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164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164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/>
    </xf>
    <xf numFmtId="164" fontId="7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center"/>
    </xf>
    <xf numFmtId="164" fontId="7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0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9" fillId="0" borderId="0" pivotButton="0" quotePrefix="0" xfId="0"/>
    <xf numFmtId="165" fontId="3" fillId="0" borderId="1" applyAlignment="1" pivotButton="0" quotePrefix="0" xfId="0">
      <alignment horizontal="center" vertical="center"/>
    </xf>
    <xf numFmtId="165" fontId="9" fillId="0" borderId="0" pivotButton="0" quotePrefix="0" xfId="0"/>
    <xf numFmtId="0" fontId="9" fillId="0" borderId="0" applyAlignment="1" pivotButton="0" quotePrefix="0" xfId="0">
      <alignment horizontal="left" vertical="center"/>
    </xf>
    <xf numFmtId="165" fontId="6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horizontal="center" vertical="center"/>
    </xf>
    <xf numFmtId="0" fontId="1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8" defaultColWidth="14.43" defaultRowHeight="15" customHeight="1"/>
  <cols>
    <col width="45" customWidth="1" style="23" min="1" max="1"/>
    <col width="15" customWidth="1" style="23" min="2" max="2"/>
    <col width="15" customWidth="1" style="23" min="3" max="3"/>
    <col width="15" customWidth="1" style="23" min="4" max="4"/>
    <col width="15" customWidth="1" style="23" min="5" max="5"/>
    <col width="15" customWidth="1" style="23" min="6" max="6"/>
    <col width="18" customWidth="1" style="23" min="7" max="7"/>
    <col width="8.710000000000001" customWidth="1" style="23" min="8" max="11"/>
  </cols>
  <sheetData>
    <row r="1" ht="24" customHeight="1" s="23">
      <c r="A1" s="24" t="inlineStr">
        <is>
          <t>TURNER THEOLOGICAL SEMINARY</t>
        </is>
      </c>
    </row>
    <row r="2">
      <c r="A2" s="24" t="inlineStr">
        <is>
          <t>The Turner Model: Integrated Christian Practices Initiative</t>
        </is>
      </c>
    </row>
    <row r="3" ht="18" customHeight="1" s="23">
      <c r="A3" s="24" t="inlineStr">
        <is>
          <t>Rebuilt Lilly Endowment Budget Framework (2026–2030)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5" ht="18" customHeight="1" s="23">
      <c r="A5" s="5" t="inlineStr">
        <is>
          <t>Budget Category / Line Item</t>
        </is>
      </c>
      <c r="B5" s="6" t="inlineStr">
        <is>
          <t>2026</t>
        </is>
      </c>
      <c r="C5" s="6" t="inlineStr">
        <is>
          <t>2027</t>
        </is>
      </c>
      <c r="D5" s="6" t="inlineStr">
        <is>
          <t>2028</t>
        </is>
      </c>
      <c r="E5" s="6" t="inlineStr">
        <is>
          <t>2029</t>
        </is>
      </c>
      <c r="F5" s="6" t="inlineStr">
        <is>
          <t>2030</t>
        </is>
      </c>
      <c r="G5" s="6" t="inlineStr">
        <is>
          <t>TOTAL</t>
        </is>
      </c>
    </row>
    <row r="6" ht="15.75" customHeight="1" s="23">
      <c r="A6" s="7" t="inlineStr">
        <is>
          <t>INCOME</t>
        </is>
      </c>
    </row>
    <row r="7">
      <c r="A7" s="8" t="inlineStr">
        <is>
          <t>Lilly Endowment Grant</t>
        </is>
      </c>
      <c r="B7" s="9" t="n">
        <v>500000</v>
      </c>
      <c r="C7" s="9" t="n">
        <v>500000</v>
      </c>
      <c r="D7" s="9" t="n">
        <v>500000</v>
      </c>
      <c r="E7" s="9" t="n">
        <v>500000</v>
      </c>
      <c r="F7" s="9" t="n">
        <v>500000</v>
      </c>
      <c r="G7" s="9">
        <f>SUM(B7:F7)</f>
        <v/>
      </c>
    </row>
    <row r="8" ht="6" customHeight="1" s="23">
      <c r="A8" s="25" t="inlineStr">
        <is>
          <t>INCOME</t>
        </is>
      </c>
    </row>
    <row r="9">
      <c r="A9" s="10" t="inlineStr">
        <is>
          <t>Lilly Endowment Grant</t>
        </is>
      </c>
      <c r="B9" s="26" t="n">
        <v>500000</v>
      </c>
      <c r="C9" s="26" t="n">
        <v>500000</v>
      </c>
      <c r="D9" s="26" t="n">
        <v>500000</v>
      </c>
      <c r="E9" s="26" t="n">
        <v>500000</v>
      </c>
      <c r="F9" s="26" t="n">
        <v>500000</v>
      </c>
      <c r="G9" s="26" t="n">
        <v>2500000</v>
      </c>
    </row>
    <row r="10">
      <c r="A10" s="25" t="inlineStr">
        <is>
          <t>TOTAL INCOME</t>
        </is>
      </c>
      <c r="B10" s="27" t="n">
        <v>500000</v>
      </c>
      <c r="C10" s="27" t="n">
        <v>500000</v>
      </c>
      <c r="D10" s="27" t="n">
        <v>500000</v>
      </c>
      <c r="E10" s="27" t="n">
        <v>500000</v>
      </c>
      <c r="F10" s="27" t="n">
        <v>500000</v>
      </c>
      <c r="G10" s="27" t="n">
        <v>2500000</v>
      </c>
    </row>
    <row r="11" ht="15.75" customHeight="1" s="23">
      <c r="A11" s="7" t="inlineStr"/>
    </row>
    <row r="12" ht="15.75" customHeight="1" s="23">
      <c r="A12" s="28" t="inlineStr">
        <is>
          <t>EXPENSES</t>
        </is>
      </c>
    </row>
    <row r="13">
      <c r="A13" s="8" t="inlineStr">
        <is>
          <t>Personnel</t>
        </is>
      </c>
      <c r="B13" s="29" t="n">
        <v>180000</v>
      </c>
      <c r="C13" s="29" t="n">
        <v>185000</v>
      </c>
      <c r="D13" s="29" t="n">
        <v>175000</v>
      </c>
      <c r="E13" s="29" t="n">
        <v>160000</v>
      </c>
      <c r="F13" s="29" t="n">
        <v>150000</v>
      </c>
      <c r="G13" s="29" t="n">
        <v>850000</v>
      </c>
    </row>
    <row r="14">
      <c r="A14" s="8" t="inlineStr">
        <is>
          <t>Christian Practices &amp; Formation Activities</t>
        </is>
      </c>
      <c r="B14" s="29" t="n">
        <v>110000</v>
      </c>
      <c r="C14" s="29" t="n">
        <v>115000</v>
      </c>
      <c r="D14" s="29" t="n">
        <v>115000</v>
      </c>
      <c r="E14" s="29" t="n">
        <v>105000</v>
      </c>
      <c r="F14" s="29" t="n">
        <v>95000</v>
      </c>
      <c r="G14" s="29" t="n">
        <v>540000</v>
      </c>
    </row>
    <row r="15">
      <c r="A15" s="8" t="inlineStr">
        <is>
          <t>Ecclesial &amp; Community Partnerships</t>
        </is>
      </c>
      <c r="B15" s="29" t="n">
        <v>30000</v>
      </c>
      <c r="C15" s="29" t="n">
        <v>35000</v>
      </c>
      <c r="D15" s="29" t="n">
        <v>35000</v>
      </c>
      <c r="E15" s="29" t="n">
        <v>35000</v>
      </c>
      <c r="F15" s="29" t="n">
        <v>30000</v>
      </c>
      <c r="G15" s="29" t="n">
        <v>165000</v>
      </c>
    </row>
    <row r="16">
      <c r="A16" s="10" t="inlineStr">
        <is>
          <t>Sankofa CPE Clinical Formation</t>
        </is>
      </c>
      <c r="B16" s="26" t="n">
        <v>35000</v>
      </c>
      <c r="C16" s="26" t="n">
        <v>38000</v>
      </c>
      <c r="D16" s="26" t="n">
        <v>40000</v>
      </c>
      <c r="E16" s="26" t="n">
        <v>42000</v>
      </c>
      <c r="F16" s="26" t="n">
        <v>35000</v>
      </c>
      <c r="G16" s="26" t="n">
        <v>190000</v>
      </c>
    </row>
    <row r="17" ht="15.75" customHeight="1" s="23">
      <c r="A17" s="7" t="inlineStr">
        <is>
          <t>Communications &amp; Dissemination</t>
        </is>
      </c>
    </row>
    <row r="18">
      <c r="A18" s="8" t="inlineStr">
        <is>
          <t>Evaluation &amp; Learning</t>
        </is>
      </c>
      <c r="B18" s="29" t="n">
        <v>25000</v>
      </c>
      <c r="C18" s="29" t="n">
        <v>30000</v>
      </c>
      <c r="D18" s="29" t="n">
        <v>32000</v>
      </c>
      <c r="E18" s="29" t="n">
        <v>34000</v>
      </c>
      <c r="F18" s="29" t="n">
        <v>29000</v>
      </c>
      <c r="G18" s="29" t="n">
        <v>150000</v>
      </c>
    </row>
    <row r="19">
      <c r="A19" s="10" t="inlineStr">
        <is>
          <t>Sustainability &amp; Replication</t>
        </is>
      </c>
      <c r="B19" s="26" t="n">
        <v>15000</v>
      </c>
      <c r="C19" s="26" t="n">
        <v>18000</v>
      </c>
      <c r="D19" s="26" t="n">
        <v>22000</v>
      </c>
      <c r="E19" s="26" t="n">
        <v>30000</v>
      </c>
      <c r="F19" s="26" t="n">
        <v>35000</v>
      </c>
      <c r="G19" s="26" t="n">
        <v>120000</v>
      </c>
    </row>
    <row r="20" ht="15.75" customHeight="1" s="23">
      <c r="A20" s="7" t="inlineStr">
        <is>
          <t>Technology &amp; Hybrid Infrastructure</t>
        </is>
      </c>
    </row>
    <row r="21" ht="15.75" customHeight="1" s="23">
      <c r="A21" s="8" t="inlineStr">
        <is>
          <t>Fellows &amp; Emerging Leaders</t>
        </is>
      </c>
      <c r="B21" s="29" t="n">
        <v>18000</v>
      </c>
      <c r="C21" s="29" t="n">
        <v>22000</v>
      </c>
      <c r="D21" s="29" t="n">
        <v>25000</v>
      </c>
      <c r="E21" s="29" t="n">
        <v>28000</v>
      </c>
      <c r="F21" s="29" t="n">
        <v>27000</v>
      </c>
      <c r="G21" s="29" t="n">
        <v>120000</v>
      </c>
    </row>
    <row r="22" ht="15.75" customHeight="1" s="23">
      <c r="A22" s="8" t="inlineStr">
        <is>
          <t>Sub-Total Expenses</t>
        </is>
      </c>
      <c r="B22" s="29" t="n">
        <v>460000</v>
      </c>
      <c r="C22" s="29" t="n">
        <v>493000</v>
      </c>
      <c r="D22" s="29" t="n">
        <v>496000</v>
      </c>
      <c r="E22" s="29" t="n">
        <v>486000</v>
      </c>
      <c r="F22" s="29" t="n">
        <v>449000</v>
      </c>
      <c r="G22" s="29" t="n">
        <v>2384000</v>
      </c>
    </row>
    <row r="23" ht="15.75" customHeight="1" s="23">
      <c r="A23" s="8" t="inlineStr">
        <is>
          <t>Indirect Costs (6%)</t>
        </is>
      </c>
      <c r="B23" s="29" t="n">
        <v>27600</v>
      </c>
      <c r="C23" s="29" t="n">
        <v>29580</v>
      </c>
      <c r="D23" s="29" t="n">
        <v>29760</v>
      </c>
      <c r="E23" s="29" t="n">
        <v>29160</v>
      </c>
      <c r="F23" s="29" t="n">
        <v>26940</v>
      </c>
      <c r="G23" s="29" t="n">
        <v>143040</v>
      </c>
    </row>
    <row r="24" ht="15.75" customHeight="1" s="23">
      <c r="A24" s="30" t="inlineStr">
        <is>
          <t>GRAND TOTAL</t>
        </is>
      </c>
      <c r="B24" s="31" t="n">
        <v>487600</v>
      </c>
      <c r="C24" s="31" t="n">
        <v>522580</v>
      </c>
      <c r="D24" s="31" t="n">
        <v>525760</v>
      </c>
      <c r="E24" s="31" t="n">
        <v>515160</v>
      </c>
      <c r="F24" s="31" t="n">
        <v>475940</v>
      </c>
      <c r="G24" s="31" t="n">
        <v>2527040</v>
      </c>
    </row>
    <row r="25" ht="15.75" customHeight="1" s="23">
      <c r="A25" s="10" t="inlineStr">
        <is>
          <t xml:space="preserve">  TOTAL PROGRAM ACTIVITIES</t>
        </is>
      </c>
      <c r="B25" s="11">
        <f>SUM(B21,B22,B23,B24)</f>
        <v/>
      </c>
      <c r="C25" s="11">
        <f>SUM(C21,C22,C23,C24)</f>
        <v/>
      </c>
      <c r="D25" s="11">
        <f>SUM(D21,D22,D23,D24)</f>
        <v/>
      </c>
      <c r="E25" s="11">
        <f>SUM(E21,E22,E23,E24)</f>
        <v/>
      </c>
      <c r="F25" s="11">
        <f>SUM(F21,F22,F23,F24)</f>
        <v/>
      </c>
      <c r="G25" s="11">
        <f>SUM(G21,G22,G23,G24)</f>
        <v/>
      </c>
    </row>
    <row r="26" ht="15.75" customHeight="1" s="23">
      <c r="A26" s="7" t="inlineStr">
        <is>
          <t xml:space="preserve">  Travel</t>
        </is>
      </c>
    </row>
    <row r="27" ht="15.75" customHeight="1" s="23">
      <c r="A27" s="8" t="inlineStr">
        <is>
          <t>Staff travel — cohort coordination and partner visits</t>
        </is>
      </c>
      <c r="B27" s="9" t="n">
        <v>15000</v>
      </c>
      <c r="C27" s="9" t="n">
        <v>13000</v>
      </c>
      <c r="D27" s="9" t="n">
        <v>12000</v>
      </c>
      <c r="E27" s="9" t="n">
        <v>11000</v>
      </c>
      <c r="F27" s="9" t="n">
        <v>10000</v>
      </c>
      <c r="G27" s="9">
        <f>SUM(B27:F27)</f>
        <v/>
      </c>
    </row>
    <row r="28" ht="15.75" customHeight="1" s="23">
      <c r="A28" s="8" t="inlineStr">
        <is>
          <t>Participant travel — retreats and formation experiences</t>
        </is>
      </c>
      <c r="B28" s="9" t="n">
        <v>12000</v>
      </c>
      <c r="C28" s="9" t="n">
        <v>10000</v>
      </c>
      <c r="D28" s="9" t="n">
        <v>10000</v>
      </c>
      <c r="E28" s="9" t="n">
        <v>9000</v>
      </c>
      <c r="F28" s="9" t="n">
        <v>8000</v>
      </c>
      <c r="G28" s="9">
        <f>SUM(B28:F28)</f>
        <v/>
      </c>
    </row>
    <row r="29" ht="15.75" customHeight="1" s="23">
      <c r="A29" s="8" t="inlineStr">
        <is>
          <t>Dissemination and replication site visits</t>
        </is>
      </c>
      <c r="B29" s="9" t="n">
        <v>8000</v>
      </c>
      <c r="C29" s="9" t="n">
        <v>7000</v>
      </c>
      <c r="D29" s="9" t="n">
        <v>6000</v>
      </c>
      <c r="E29" s="9" t="n">
        <v>5000</v>
      </c>
      <c r="F29" s="9" t="n">
        <v>4000</v>
      </c>
      <c r="G29" s="9">
        <f>SUM(B29:F29)</f>
        <v/>
      </c>
    </row>
    <row r="30" ht="15.75" customHeight="1" s="23">
      <c r="A30" s="10" t="inlineStr">
        <is>
          <t xml:space="preserve">  TOTAL TRAVEL</t>
        </is>
      </c>
      <c r="B30" s="11">
        <f>SUM(B27,B28,B29)</f>
        <v/>
      </c>
      <c r="C30" s="11">
        <f>SUM(C27,C28,C29)</f>
        <v/>
      </c>
      <c r="D30" s="11">
        <f>SUM(D27,D28,D29)</f>
        <v/>
      </c>
      <c r="E30" s="11">
        <f>SUM(E27,E28,E29)</f>
        <v/>
      </c>
      <c r="F30" s="11">
        <f>SUM(F27,F28,F29)</f>
        <v/>
      </c>
      <c r="G30" s="11">
        <f>SUM(G27,G28,G29)</f>
        <v/>
      </c>
    </row>
    <row r="31" ht="15.75" customHeight="1" s="23">
      <c r="A31" s="7" t="inlineStr">
        <is>
          <t xml:space="preserve">  Consultants / Evaluation</t>
        </is>
      </c>
    </row>
    <row r="32" ht="15.75" customHeight="1" s="23">
      <c r="A32" s="8" t="inlineStr">
        <is>
          <t>External evaluator — program assessment and reporting</t>
        </is>
      </c>
      <c r="B32" s="9" t="n">
        <v>25000</v>
      </c>
      <c r="C32" s="9" t="n">
        <v>22000</v>
      </c>
      <c r="D32" s="9" t="n">
        <v>20000</v>
      </c>
      <c r="E32" s="9" t="n">
        <v>18000</v>
      </c>
      <c r="F32" s="9" t="n">
        <v>13000</v>
      </c>
      <c r="G32" s="9">
        <f>SUM(B32:F32)</f>
        <v/>
      </c>
    </row>
    <row r="33" ht="15.75" customHeight="1" s="23">
      <c r="A33" s="8" t="inlineStr">
        <is>
          <t>Theological consultants and guest facilitators</t>
        </is>
      </c>
      <c r="B33" s="9" t="n">
        <v>20000</v>
      </c>
      <c r="C33" s="9" t="n">
        <v>18000</v>
      </c>
      <c r="D33" s="9" t="n">
        <v>15000</v>
      </c>
      <c r="E33" s="9" t="n">
        <v>13000</v>
      </c>
      <c r="F33" s="9" t="n">
        <v>10000</v>
      </c>
      <c r="G33" s="9">
        <f>SUM(B33:F33)</f>
        <v/>
      </c>
    </row>
    <row r="34" ht="15.75" customHeight="1" s="23">
      <c r="A34" s="8" t="inlineStr">
        <is>
          <t>Curriculum and resource development specialists</t>
        </is>
      </c>
      <c r="B34" s="9" t="n">
        <v>10000</v>
      </c>
      <c r="C34" s="9" t="n">
        <v>10000</v>
      </c>
      <c r="D34" s="9" t="n">
        <v>10000</v>
      </c>
      <c r="E34" s="9" t="n">
        <v>9000</v>
      </c>
      <c r="F34" s="9" t="n">
        <v>7000</v>
      </c>
      <c r="G34" s="9">
        <f>SUM(B34:F34)</f>
        <v/>
      </c>
    </row>
    <row r="35" ht="15.75" customHeight="1" s="23">
      <c r="A35" s="10" t="inlineStr">
        <is>
          <t xml:space="preserve">  TOTAL CONSULTANTS</t>
        </is>
      </c>
      <c r="B35" s="11">
        <f>SUM(B32,B33,B34)</f>
        <v/>
      </c>
      <c r="C35" s="11">
        <f>SUM(C32,C33,C34)</f>
        <v/>
      </c>
      <c r="D35" s="11">
        <f>SUM(D32,D33,D34)</f>
        <v/>
      </c>
      <c r="E35" s="11">
        <f>SUM(E32,E33,E34)</f>
        <v/>
      </c>
      <c r="F35" s="11">
        <f>SUM(F32,F33,F34)</f>
        <v/>
      </c>
      <c r="G35" s="11">
        <f>SUM(G32,G33,G34)</f>
        <v/>
      </c>
    </row>
    <row r="36" ht="15.75" customHeight="1" s="23">
      <c r="A36" s="7" t="inlineStr">
        <is>
          <t xml:space="preserve">  Equipment, Technology, and Materials</t>
        </is>
      </c>
    </row>
    <row r="37" ht="15.75" customHeight="1" s="23">
      <c r="A37" s="8" t="inlineStr">
        <is>
          <t>Hybrid learning platform and LMS licensing</t>
        </is>
      </c>
      <c r="B37" s="9" t="n">
        <v>15000</v>
      </c>
      <c r="C37" s="9" t="n">
        <v>10000</v>
      </c>
      <c r="D37" s="9" t="n">
        <v>8000</v>
      </c>
      <c r="E37" s="9" t="n">
        <v>6000</v>
      </c>
      <c r="F37" s="9" t="n">
        <v>6000</v>
      </c>
      <c r="G37" s="9">
        <f>SUM(B37:F37)</f>
        <v/>
      </c>
    </row>
    <row r="38" ht="15.75" customHeight="1" s="23">
      <c r="A38" s="8" t="inlineStr">
        <is>
          <t>Participant materials, curricula, and resources</t>
        </is>
      </c>
      <c r="B38" s="9" t="n">
        <v>12000</v>
      </c>
      <c r="C38" s="9" t="n">
        <v>9000</v>
      </c>
      <c r="D38" s="9" t="n">
        <v>8000</v>
      </c>
      <c r="E38" s="9" t="n">
        <v>6000</v>
      </c>
      <c r="F38" s="9" t="n">
        <v>6000</v>
      </c>
      <c r="G38" s="9">
        <f>SUM(B38:F38)</f>
        <v/>
      </c>
    </row>
    <row r="39" ht="15.75" customHeight="1" s="23">
      <c r="A39" s="8" t="inlineStr">
        <is>
          <t>Office supplies and equipment</t>
        </is>
      </c>
      <c r="B39" s="9" t="n">
        <v>8000</v>
      </c>
      <c r="C39" s="9" t="n">
        <v>6000</v>
      </c>
      <c r="D39" s="9" t="n">
        <v>4000</v>
      </c>
      <c r="E39" s="9" t="n">
        <v>3000</v>
      </c>
      <c r="F39" s="9" t="n">
        <v>3000</v>
      </c>
      <c r="G39" s="9">
        <f>SUM(B39:F39)</f>
        <v/>
      </c>
    </row>
    <row r="40" ht="15.75" customHeight="1" s="23">
      <c r="A40" s="10" t="inlineStr">
        <is>
          <t xml:space="preserve">  TOTAL TECHNOLOGY AND MATERIALS</t>
        </is>
      </c>
      <c r="B40" s="11">
        <f>SUM(B37,B38,B39)</f>
        <v/>
      </c>
      <c r="C40" s="11">
        <f>SUM(C37,C38,C39)</f>
        <v/>
      </c>
      <c r="D40" s="11">
        <f>SUM(D37,D38,D39)</f>
        <v/>
      </c>
      <c r="E40" s="11">
        <f>SUM(E37,E38,E39)</f>
        <v/>
      </c>
      <c r="F40" s="11">
        <f>SUM(F37,F38,F39)</f>
        <v/>
      </c>
      <c r="G40" s="11">
        <f>SUM(G37,G38,G39)</f>
        <v/>
      </c>
    </row>
    <row r="41" ht="15.75" customHeight="1" s="23">
      <c r="A41" s="7" t="inlineStr">
        <is>
          <t xml:space="preserve">  Communications and Dissemination</t>
        </is>
      </c>
    </row>
    <row r="42" ht="15.75" customHeight="1" s="23">
      <c r="A42" s="8" t="inlineStr">
        <is>
          <t>Program communications, reports, and publications</t>
        </is>
      </c>
      <c r="B42" s="9" t="n">
        <v>10000</v>
      </c>
      <c r="C42" s="9" t="n">
        <v>9000</v>
      </c>
      <c r="D42" s="9" t="n">
        <v>7000</v>
      </c>
      <c r="E42" s="9" t="n">
        <v>6000</v>
      </c>
      <c r="F42" s="9" t="n">
        <v>6000</v>
      </c>
      <c r="G42" s="9">
        <f>SUM(B42:F42)</f>
        <v/>
      </c>
    </row>
    <row r="43" ht="15.75" customHeight="1" s="23">
      <c r="A43" s="8" t="inlineStr">
        <is>
          <t>Video documentation and digital media</t>
        </is>
      </c>
      <c r="B43" s="9" t="n">
        <v>9000</v>
      </c>
      <c r="C43" s="9" t="n">
        <v>8000</v>
      </c>
      <c r="D43" s="9" t="n">
        <v>7000</v>
      </c>
      <c r="E43" s="9" t="n">
        <v>6000</v>
      </c>
      <c r="F43" s="9" t="n">
        <v>6000</v>
      </c>
      <c r="G43" s="9">
        <f>SUM(B43:F43)</f>
        <v/>
      </c>
    </row>
    <row r="44" ht="15.75" customHeight="1" s="23">
      <c r="A44" s="8" t="inlineStr">
        <is>
          <t>Replication toolkit and dissemination materials</t>
        </is>
      </c>
      <c r="B44" s="9" t="n">
        <v>6000</v>
      </c>
      <c r="C44" s="9" t="n">
        <v>5000</v>
      </c>
      <c r="D44" s="9" t="n">
        <v>4000</v>
      </c>
      <c r="E44" s="9" t="n">
        <v>3000</v>
      </c>
      <c r="F44" s="9" t="n">
        <v>3000</v>
      </c>
      <c r="G44" s="9">
        <f>SUM(B44:F44)</f>
        <v/>
      </c>
    </row>
    <row r="45" ht="15.75" customHeight="1" s="23">
      <c r="A45" s="10" t="inlineStr">
        <is>
          <t xml:space="preserve">  TOTAL COMMUNICATIONS</t>
        </is>
      </c>
      <c r="B45" s="11">
        <f>SUM(B42,B43,B44)</f>
        <v/>
      </c>
      <c r="C45" s="11">
        <f>SUM(C42,C43,C44)</f>
        <v/>
      </c>
      <c r="D45" s="11">
        <f>SUM(D42,D43,D44)</f>
        <v/>
      </c>
      <c r="E45" s="11">
        <f>SUM(E42,E43,E44)</f>
        <v/>
      </c>
      <c r="F45" s="11">
        <f>SUM(F42,F43,F44)</f>
        <v/>
      </c>
      <c r="G45" s="11">
        <f>SUM(G42,G43,G44)</f>
        <v/>
      </c>
    </row>
    <row r="46" ht="15.75" customHeight="1" s="23">
      <c r="A46" s="7" t="inlineStr">
        <is>
          <t xml:space="preserve">  Sustainability and Advancement</t>
        </is>
      </c>
    </row>
    <row r="47" ht="15.75" customHeight="1" s="23">
      <c r="A47" s="8" t="inlineStr">
        <is>
          <t>Donor cultivation and fundraising strategy</t>
        </is>
      </c>
      <c r="B47" s="9" t="n">
        <v>5000</v>
      </c>
      <c r="C47" s="9" t="n">
        <v>7000</v>
      </c>
      <c r="D47" s="9" t="n">
        <v>10000</v>
      </c>
      <c r="E47" s="9" t="n">
        <v>11000</v>
      </c>
      <c r="F47" s="9" t="n">
        <v>11000</v>
      </c>
      <c r="G47" s="9">
        <f>SUM(B47:F47)</f>
        <v/>
      </c>
    </row>
    <row r="48" ht="15.75" customHeight="1" s="23">
      <c r="A48" s="8" t="inlineStr">
        <is>
          <t>Continuation planning and institutional capacity</t>
        </is>
      </c>
      <c r="B48" s="9" t="n">
        <v>5000</v>
      </c>
      <c r="C48" s="9" t="n">
        <v>8000</v>
      </c>
      <c r="D48" s="9" t="n">
        <v>10000</v>
      </c>
      <c r="E48" s="9" t="n">
        <v>11000</v>
      </c>
      <c r="F48" s="9" t="n">
        <v>12000</v>
      </c>
      <c r="G48" s="9">
        <f>SUM(B48:F48)</f>
        <v/>
      </c>
    </row>
    <row r="49" ht="15.75" customHeight="1" s="23">
      <c r="A49" s="10" t="inlineStr">
        <is>
          <t xml:space="preserve">  TOTAL SUSTAINABILITY</t>
        </is>
      </c>
      <c r="B49" s="11">
        <f>SUM(B47,B48)</f>
        <v/>
      </c>
      <c r="C49" s="11">
        <f>SUM(C47,C48)</f>
        <v/>
      </c>
      <c r="D49" s="11">
        <f>SUM(D47,D48)</f>
        <v/>
      </c>
      <c r="E49" s="11">
        <f>SUM(E47,E48)</f>
        <v/>
      </c>
      <c r="F49" s="11">
        <f>SUM(F47,F48)</f>
        <v/>
      </c>
      <c r="G49" s="11">
        <f>SUM(G47,G48)</f>
        <v/>
      </c>
    </row>
    <row r="50" ht="15.75" customHeight="1" s="23">
      <c r="A50" s="4" t="n"/>
      <c r="B50" s="4" t="n"/>
      <c r="C50" s="4" t="n"/>
      <c r="D50" s="4" t="n"/>
      <c r="E50" s="4" t="n"/>
      <c r="F50" s="4" t="n"/>
      <c r="G50" s="4" t="n"/>
    </row>
    <row r="51" ht="15.75" customHeight="1" s="23">
      <c r="A51" s="12" t="inlineStr">
        <is>
          <t>DIRECT COSTS</t>
        </is>
      </c>
      <c r="B51" s="13">
        <f>SUM(B16,B19,B25,B30,B35,B40,B45,B49)</f>
        <v/>
      </c>
      <c r="C51" s="13">
        <f>SUM(C16,C19,C25,C30,C35,C40,C45,C49)</f>
        <v/>
      </c>
      <c r="D51" s="13">
        <f>SUM(D16,D19,D25,D30,D35,D40,D45,D49)</f>
        <v/>
      </c>
      <c r="E51" s="13">
        <f>SUM(E16,E19,E25,E30,E35,E40,E45,E49)</f>
        <v/>
      </c>
      <c r="F51" s="13">
        <f>SUM(F16,F19,F25,F30,F35,F40,F45,F49)</f>
        <v/>
      </c>
      <c r="G51" s="13">
        <f>SUM(G16,G19,G25,G30,G35,G40,G45,G49)</f>
        <v/>
      </c>
    </row>
    <row r="52" ht="15.75" customHeight="1" s="23">
      <c r="A52" s="7" t="inlineStr">
        <is>
          <t xml:space="preserve">  Indirect Costs (6% of direct costs — grants admin, finance, compliance)</t>
        </is>
      </c>
    </row>
    <row r="53" ht="15.75" customHeight="1" s="23">
      <c r="A53" s="8" t="inlineStr">
        <is>
          <t>Indirect costs</t>
        </is>
      </c>
      <c r="B53" s="9" t="n">
        <v>15000</v>
      </c>
      <c r="C53" s="9" t="n">
        <v>16000</v>
      </c>
      <c r="D53" s="9" t="n">
        <v>30000</v>
      </c>
      <c r="E53" s="9" t="n">
        <v>32000</v>
      </c>
      <c r="F53" s="9" t="n">
        <v>57000</v>
      </c>
      <c r="G53" s="9">
        <f>SUM(B53:F53)</f>
        <v/>
      </c>
    </row>
    <row r="54" ht="15.75" customHeight="1" s="23">
      <c r="A54" s="4" t="n"/>
      <c r="B54" s="4" t="n"/>
      <c r="C54" s="4" t="n"/>
      <c r="D54" s="4" t="n"/>
      <c r="E54" s="4" t="n"/>
      <c r="F54" s="4" t="n"/>
      <c r="G54" s="4" t="n"/>
    </row>
    <row r="55" ht="19.5" customHeight="1" s="23">
      <c r="A55" s="14" t="inlineStr">
        <is>
          <t>TOTAL EXPENSES</t>
        </is>
      </c>
      <c r="B55" s="15">
        <f>B51+B53</f>
        <v/>
      </c>
      <c r="C55" s="15">
        <f>C51+C53</f>
        <v/>
      </c>
      <c r="D55" s="15">
        <f>D51+D53</f>
        <v/>
      </c>
      <c r="E55" s="15">
        <f>E51+E53</f>
        <v/>
      </c>
      <c r="F55" s="15">
        <f>F51+F53</f>
        <v/>
      </c>
      <c r="G55" s="15">
        <f>G51+G53</f>
        <v/>
      </c>
    </row>
    <row r="56" ht="15.75" customHeight="1" s="23">
      <c r="A56" s="4" t="n"/>
      <c r="B56" s="4" t="n"/>
      <c r="C56" s="4" t="n"/>
      <c r="D56" s="4" t="n"/>
      <c r="E56" s="4" t="n"/>
      <c r="F56" s="4" t="n"/>
      <c r="G56" s="4" t="n"/>
    </row>
    <row r="57" ht="15.75" customHeight="1" s="23">
      <c r="A57" s="16" t="n"/>
      <c r="B57" s="16" t="n"/>
      <c r="C57" s="16" t="n"/>
      <c r="D57" s="16" t="n"/>
      <c r="E57" s="16" t="n"/>
      <c r="F57" s="16" t="n"/>
      <c r="G57" s="16" t="n"/>
    </row>
    <row r="58" ht="15.75" customHeight="1" s="23">
      <c r="A58" s="16" t="n"/>
      <c r="B58" s="16" t="n"/>
      <c r="C58" s="16" t="n"/>
      <c r="D58" s="16" t="n"/>
      <c r="E58" s="16" t="n"/>
      <c r="F58" s="16" t="n"/>
      <c r="G58" s="16" t="n"/>
    </row>
    <row r="59" ht="15.75" customHeight="1" s="23">
      <c r="A59" s="16" t="n"/>
      <c r="B59" s="16" t="n"/>
      <c r="C59" s="16" t="n"/>
      <c r="D59" s="16" t="n"/>
      <c r="E59" s="16" t="n"/>
      <c r="F59" s="16" t="n"/>
      <c r="G59" s="16" t="n"/>
    </row>
    <row r="60" ht="15.75" customHeight="1" s="23">
      <c r="A60" s="4" t="n"/>
      <c r="B60" s="4" t="n"/>
      <c r="C60" s="4" t="n"/>
      <c r="D60" s="4" t="n"/>
      <c r="E60" s="4" t="n"/>
      <c r="F60" s="4" t="n"/>
      <c r="G60" s="4" t="n"/>
    </row>
    <row r="61" ht="15.75" customHeight="1" s="23">
      <c r="A61" s="17" t="inlineStr">
        <is>
          <t>Signature: ___________________________</t>
        </is>
      </c>
      <c r="C61" s="4" t="n"/>
      <c r="D61" s="17" t="inlineStr">
        <is>
          <t>Signature: ___________________________</t>
        </is>
      </c>
      <c r="G61" s="4" t="n"/>
    </row>
    <row r="62" ht="15.75" customHeight="1" s="23">
      <c r="A62" s="4" t="n"/>
      <c r="B62" s="4" t="n"/>
      <c r="C62" s="4" t="n"/>
      <c r="D62" s="4" t="n"/>
      <c r="E62" s="4" t="n"/>
      <c r="F62" s="4" t="n"/>
      <c r="G62" s="4" t="n"/>
    </row>
    <row r="63" ht="15.75" customHeight="1" s="23">
      <c r="A63" s="18" t="inlineStr">
        <is>
          <t>Grant Administrator</t>
        </is>
      </c>
      <c r="C63" s="4" t="n"/>
      <c r="D63" s="18" t="inlineStr">
        <is>
          <t>Finance: V.P/ Controller</t>
        </is>
      </c>
      <c r="G63" s="4" t="n"/>
    </row>
    <row r="64" ht="15.75" customHeight="1" s="23">
      <c r="A64" s="4" t="n"/>
      <c r="B64" s="4" t="n"/>
      <c r="C64" s="4" t="n"/>
      <c r="D64" s="4" t="n"/>
      <c r="E64" s="4" t="n"/>
      <c r="F64" s="4" t="n"/>
      <c r="G64" s="4" t="n"/>
    </row>
    <row r="65" ht="15.75" customHeight="1" s="23"/>
    <row r="66" ht="15.75" customHeight="1" s="23"/>
    <row r="67" ht="15.75" customHeight="1" s="23"/>
    <row r="68" ht="15.75" customHeight="1" s="23"/>
    <row r="69" ht="15.75" customHeight="1" s="23"/>
    <row r="70" ht="15.75" customHeight="1" s="23"/>
    <row r="71" ht="15.75" customHeight="1" s="23"/>
    <row r="72" ht="15.75" customHeight="1" s="23"/>
    <row r="73" ht="15.75" customHeight="1" s="23"/>
    <row r="74" ht="15.75" customHeight="1" s="23"/>
    <row r="75" ht="15.75" customHeight="1" s="23"/>
    <row r="76" ht="15.75" customHeight="1" s="23"/>
    <row r="77" ht="15.75" customHeight="1" s="23"/>
    <row r="78" ht="15.75" customHeight="1" s="23"/>
    <row r="79" ht="15.75" customHeight="1" s="23"/>
    <row r="80" ht="15.75" customHeight="1" s="23"/>
    <row r="81" ht="15.75" customHeight="1" s="23"/>
    <row r="82" ht="15.75" customHeight="1" s="23"/>
    <row r="83" ht="15.75" customHeight="1" s="23"/>
    <row r="84" ht="15.75" customHeight="1" s="23"/>
    <row r="85" ht="15.75" customHeight="1" s="23"/>
    <row r="86" ht="15.75" customHeight="1" s="23"/>
    <row r="87" ht="15.75" customHeight="1" s="23"/>
    <row r="88" ht="15.75" customHeight="1" s="23"/>
    <row r="89" ht="15.75" customHeight="1" s="23"/>
    <row r="90" ht="15.75" customHeight="1" s="23"/>
    <row r="91" ht="15.75" customHeight="1" s="23"/>
    <row r="92" ht="15.75" customHeight="1" s="23"/>
    <row r="93" ht="15.75" customHeight="1" s="23"/>
    <row r="94" ht="15.75" customHeight="1" s="23"/>
    <row r="95" ht="15.75" customHeight="1" s="23"/>
    <row r="96" ht="15.75" customHeight="1" s="23"/>
    <row r="97" ht="15.75" customHeight="1" s="23"/>
    <row r="98" ht="15.75" customHeight="1" s="23"/>
    <row r="99" ht="15.75" customHeight="1" s="23"/>
    <row r="100" ht="15.75" customHeight="1" s="23"/>
  </sheetData>
  <mergeCells count="19">
    <mergeCell ref="A17:G17"/>
    <mergeCell ref="A8:G8"/>
    <mergeCell ref="D61:F61"/>
    <mergeCell ref="A20:G20"/>
    <mergeCell ref="A52:G52"/>
    <mergeCell ref="A61:B61"/>
    <mergeCell ref="A31:G31"/>
    <mergeCell ref="A11:G11"/>
    <mergeCell ref="A36:G36"/>
    <mergeCell ref="A1:G1"/>
    <mergeCell ref="A6:G6"/>
    <mergeCell ref="A41:G41"/>
    <mergeCell ref="D63:F63"/>
    <mergeCell ref="A46:G46"/>
    <mergeCell ref="A3:G3"/>
    <mergeCell ref="A63:B63"/>
    <mergeCell ref="A12:G12"/>
    <mergeCell ref="A26:G26"/>
    <mergeCell ref="A2:G2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8" defaultColWidth="14.43" defaultRowHeight="15" customHeight="1"/>
  <cols>
    <col width="38" customWidth="1" style="23" min="1" max="1"/>
    <col width="14" customWidth="1" style="23" min="2" max="7"/>
    <col width="8.710000000000001" customWidth="1" style="23" min="8" max="11"/>
  </cols>
  <sheetData>
    <row r="1" ht="24" customHeight="1" s="23">
      <c r="A1" s="1" t="inlineStr">
        <is>
          <t>TURNER THEOLOGICAL SEMINARY</t>
        </is>
      </c>
    </row>
    <row r="2">
      <c r="A2" s="19" t="inlineStr">
        <is>
          <t>Lilly Endowment — Exploring Christian Practices Initiative</t>
        </is>
      </c>
    </row>
    <row r="3">
      <c r="A3" s="3" t="inlineStr">
        <is>
          <t>SUMMARY BUDGET  |  Grant Request: $2,500,000  |  Five-Year Period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5">
      <c r="A5" s="5" t="inlineStr">
        <is>
          <t>Budget Category / Line Item</t>
        </is>
      </c>
      <c r="B5" s="6" t="inlineStr">
        <is>
          <t>2026</t>
        </is>
      </c>
      <c r="C5" s="6" t="inlineStr">
        <is>
          <t>2027</t>
        </is>
      </c>
      <c r="D5" s="6" t="inlineStr">
        <is>
          <t>2028</t>
        </is>
      </c>
      <c r="E5" s="6" t="inlineStr">
        <is>
          <t>2029</t>
        </is>
      </c>
      <c r="F5" s="6" t="inlineStr">
        <is>
          <t>2030</t>
        </is>
      </c>
      <c r="G5" s="6" t="inlineStr">
        <is>
          <t>TOTAL</t>
        </is>
      </c>
    </row>
    <row r="6" ht="15.75" customHeight="1" s="23">
      <c r="A6" s="7" t="inlineStr">
        <is>
          <t>INCOME</t>
        </is>
      </c>
    </row>
    <row r="7">
      <c r="A7" s="8" t="inlineStr">
        <is>
          <t>Lilly Endowment Grant</t>
        </is>
      </c>
      <c r="B7" s="9" t="n">
        <v>500000</v>
      </c>
      <c r="C7" s="9" t="n">
        <v>500000</v>
      </c>
      <c r="D7" s="9" t="n">
        <v>500000</v>
      </c>
      <c r="E7" s="9" t="n">
        <v>500000</v>
      </c>
      <c r="F7" s="9" t="n">
        <v>500000</v>
      </c>
      <c r="G7" s="9">
        <f>SUM(B7:F7)</f>
        <v/>
      </c>
    </row>
    <row r="8">
      <c r="A8" s="10" t="inlineStr">
        <is>
          <t>TOTAL INCOME</t>
        </is>
      </c>
      <c r="B8" s="11">
        <f>B7</f>
        <v/>
      </c>
      <c r="C8" s="11">
        <f>C7</f>
        <v/>
      </c>
      <c r="D8" s="11">
        <f>D7</f>
        <v/>
      </c>
      <c r="E8" s="11">
        <f>E7</f>
        <v/>
      </c>
      <c r="F8" s="11">
        <f>F7</f>
        <v/>
      </c>
      <c r="G8" s="11">
        <f>G7</f>
        <v/>
      </c>
    </row>
    <row r="9">
      <c r="A9" s="4" t="n"/>
      <c r="B9" s="4" t="n"/>
      <c r="C9" s="4" t="n"/>
      <c r="D9" s="4" t="n"/>
      <c r="E9" s="4" t="n"/>
      <c r="F9" s="4" t="n"/>
      <c r="G9" s="4" t="n"/>
    </row>
    <row r="10" ht="15.75" customHeight="1" s="23">
      <c r="A10" s="7" t="inlineStr">
        <is>
          <t>EXPENSES</t>
        </is>
      </c>
    </row>
    <row r="11">
      <c r="A11" s="8" t="inlineStr">
        <is>
          <t>Personnel (Salaries)</t>
        </is>
      </c>
      <c r="B11" s="9" t="n">
        <v>225000</v>
      </c>
      <c r="C11" s="9" t="n">
        <v>210000</v>
      </c>
      <c r="D11" s="9" t="n">
        <v>195000</v>
      </c>
      <c r="E11" s="9" t="n">
        <v>180000</v>
      </c>
      <c r="F11" s="9" t="n">
        <v>165000</v>
      </c>
      <c r="G11" s="9">
        <f>SUM(B11:F11)</f>
        <v/>
      </c>
    </row>
    <row r="12">
      <c r="A12" s="8" t="inlineStr">
        <is>
          <t>Fringe Benefits</t>
        </is>
      </c>
      <c r="B12" s="9" t="n">
        <v>45000</v>
      </c>
      <c r="C12" s="9" t="n">
        <v>42000</v>
      </c>
      <c r="D12" s="9" t="n">
        <v>39000</v>
      </c>
      <c r="E12" s="9" t="n">
        <v>36000</v>
      </c>
      <c r="F12" s="9" t="n">
        <v>33000</v>
      </c>
      <c r="G12" s="9">
        <f>SUM(B12:F12)</f>
        <v/>
      </c>
    </row>
    <row r="13">
      <c r="A13" s="8" t="inlineStr">
        <is>
          <t>Program Activities</t>
        </is>
      </c>
      <c r="B13" s="9" t="n">
        <v>130000</v>
      </c>
      <c r="C13" s="9" t="n">
        <v>115000</v>
      </c>
      <c r="D13" s="9" t="n">
        <v>105000</v>
      </c>
      <c r="E13" s="9" t="n">
        <v>95000</v>
      </c>
      <c r="F13" s="9" t="n">
        <v>80000</v>
      </c>
      <c r="G13" s="9">
        <f>SUM(B13:F13)</f>
        <v/>
      </c>
    </row>
    <row r="14">
      <c r="A14" s="8" t="inlineStr">
        <is>
          <t>Travel</t>
        </is>
      </c>
      <c r="B14" s="9" t="n">
        <v>35000</v>
      </c>
      <c r="C14" s="9" t="n">
        <v>30000</v>
      </c>
      <c r="D14" s="9" t="n">
        <v>28000</v>
      </c>
      <c r="E14" s="9" t="n">
        <v>25000</v>
      </c>
      <c r="F14" s="9" t="n">
        <v>22000</v>
      </c>
      <c r="G14" s="9">
        <f>SUM(B14:F14)</f>
        <v/>
      </c>
    </row>
    <row r="15">
      <c r="A15" s="8" t="inlineStr">
        <is>
          <t>Consultants / Evaluation</t>
        </is>
      </c>
      <c r="B15" s="9" t="n">
        <v>55000</v>
      </c>
      <c r="C15" s="9" t="n">
        <v>50000</v>
      </c>
      <c r="D15" s="9" t="n">
        <v>45000</v>
      </c>
      <c r="E15" s="9" t="n">
        <v>40000</v>
      </c>
      <c r="F15" s="9" t="n">
        <v>30000</v>
      </c>
      <c r="G15" s="9">
        <f>SUM(B15:F15)</f>
        <v/>
      </c>
    </row>
    <row r="16">
      <c r="A16" s="8" t="inlineStr">
        <is>
          <t>Equipment, Technology, and Materials</t>
        </is>
      </c>
      <c r="B16" s="9" t="n">
        <v>35000</v>
      </c>
      <c r="C16" s="9" t="n">
        <v>25000</v>
      </c>
      <c r="D16" s="9" t="n">
        <v>20000</v>
      </c>
      <c r="E16" s="9" t="n">
        <v>15000</v>
      </c>
      <c r="F16" s="9" t="n">
        <v>15000</v>
      </c>
      <c r="G16" s="9">
        <f>SUM(B16:F16)</f>
        <v/>
      </c>
    </row>
    <row r="17">
      <c r="A17" s="8" t="inlineStr">
        <is>
          <t>Communications and Dissemination</t>
        </is>
      </c>
      <c r="B17" s="9" t="n">
        <v>25000</v>
      </c>
      <c r="C17" s="9" t="n">
        <v>22000</v>
      </c>
      <c r="D17" s="9" t="n">
        <v>18000</v>
      </c>
      <c r="E17" s="9" t="n">
        <v>15000</v>
      </c>
      <c r="F17" s="9" t="n">
        <v>15000</v>
      </c>
      <c r="G17" s="9">
        <f>SUM(B17:F17)</f>
        <v/>
      </c>
    </row>
    <row r="18">
      <c r="A18" s="8" t="inlineStr">
        <is>
          <t>Sustainability and Advancement</t>
        </is>
      </c>
      <c r="B18" s="9" t="n">
        <v>10000</v>
      </c>
      <c r="C18" s="9" t="n">
        <v>15000</v>
      </c>
      <c r="D18" s="9" t="n">
        <v>20000</v>
      </c>
      <c r="E18" s="9" t="n">
        <v>22000</v>
      </c>
      <c r="F18" s="9" t="n">
        <v>23000</v>
      </c>
      <c r="G18" s="9">
        <f>SUM(B18:F18)</f>
        <v/>
      </c>
    </row>
    <row r="19">
      <c r="A19" s="10" t="inlineStr">
        <is>
          <t>DIRECT COSTS</t>
        </is>
      </c>
      <c r="B19" s="11">
        <f>B11+B12+B13+B14+B15+B16+B17+B18</f>
        <v/>
      </c>
      <c r="C19" s="11">
        <f>C11+C12+C13+C14+C15+C16+C17+C18</f>
        <v/>
      </c>
      <c r="D19" s="11">
        <f>D11+D12+D13+D14+D15+D16+D17+D18</f>
        <v/>
      </c>
      <c r="E19" s="11">
        <f>E11+E12+E13+E14+E15+E16+E17+E18</f>
        <v/>
      </c>
      <c r="F19" s="11">
        <f>F11+F12+F13+F14+F15+F16+F17+F18</f>
        <v/>
      </c>
      <c r="G19" s="11">
        <f>G11+G12+G13+G14+G15+G16+G17+G18</f>
        <v/>
      </c>
    </row>
    <row r="20">
      <c r="A20" s="8" t="inlineStr">
        <is>
          <t>Indirect Costs (6% of direct costs)</t>
        </is>
      </c>
      <c r="B20" s="9" t="n">
        <v>15000</v>
      </c>
      <c r="C20" s="9" t="n">
        <v>16000</v>
      </c>
      <c r="D20" s="9" t="n">
        <v>30000</v>
      </c>
      <c r="E20" s="9" t="n">
        <v>32000</v>
      </c>
      <c r="F20" s="9" t="n">
        <v>57000</v>
      </c>
      <c r="G20" s="9">
        <f>SUM(B20:F20)</f>
        <v/>
      </c>
    </row>
    <row r="21" ht="19.5" customHeight="1" s="23">
      <c r="A21" s="14" t="inlineStr">
        <is>
          <t>TOTAL EXPENSES</t>
        </is>
      </c>
      <c r="B21" s="15">
        <f>B19+B20</f>
        <v/>
      </c>
      <c r="C21" s="15">
        <f>C19+C20</f>
        <v/>
      </c>
      <c r="D21" s="15">
        <f>D19+D20</f>
        <v/>
      </c>
      <c r="E21" s="15">
        <f>E19+E20</f>
        <v/>
      </c>
      <c r="F21" s="15">
        <f>F19+F20</f>
        <v/>
      </c>
      <c r="G21" s="15">
        <f>G19+G20</f>
        <v/>
      </c>
    </row>
    <row r="22" ht="19.5" customHeight="1" s="23">
      <c r="A22" s="20" t="n"/>
      <c r="B22" s="21" t="n"/>
      <c r="C22" s="21" t="n"/>
      <c r="D22" s="21" t="n"/>
      <c r="E22" s="21" t="n"/>
      <c r="F22" s="21" t="n"/>
      <c r="G22" s="21" t="n"/>
    </row>
    <row r="23" ht="19.5" customHeight="1" s="23">
      <c r="A23" s="20" t="n"/>
      <c r="B23" s="21" t="n"/>
      <c r="C23" s="21" t="n"/>
      <c r="D23" s="21" t="n"/>
      <c r="E23" s="21" t="n"/>
      <c r="F23" s="21" t="n"/>
      <c r="G23" s="21" t="n"/>
    </row>
    <row r="24" ht="19.5" customHeight="1" s="23">
      <c r="A24" s="20" t="n"/>
      <c r="B24" s="21" t="n"/>
      <c r="C24" s="21" t="n"/>
      <c r="D24" s="21" t="n"/>
      <c r="E24" s="21" t="n"/>
      <c r="F24" s="21" t="n"/>
      <c r="G24" s="21" t="n"/>
    </row>
    <row r="25" ht="15.75" customHeight="1" s="23"/>
    <row r="26" ht="15.75" customHeight="1" s="23"/>
    <row r="27" ht="15.75" customHeight="1" s="23">
      <c r="A27" s="0" t="inlineStr">
        <is>
          <t>Signature: ___________________________</t>
        </is>
      </c>
      <c r="D27" s="0" t="inlineStr">
        <is>
          <t>Signature: ___________________________</t>
        </is>
      </c>
    </row>
    <row r="28" ht="15.75" customHeight="1" s="23"/>
    <row r="29" ht="15.75" customHeight="1" s="23">
      <c r="A29" s="22" t="inlineStr">
        <is>
          <t>Grant Administrator</t>
        </is>
      </c>
      <c r="D29" s="22" t="inlineStr">
        <is>
          <t>Finance: V.P/ Controller</t>
        </is>
      </c>
    </row>
    <row r="30" ht="15.75" customHeight="1" s="23"/>
    <row r="31" ht="15.75" customHeight="1" s="23"/>
    <row r="32" ht="15.75" customHeight="1" s="23"/>
    <row r="33" ht="15.75" customHeight="1" s="23"/>
    <row r="34" ht="15.75" customHeight="1" s="23"/>
    <row r="35" ht="15.75" customHeight="1" s="23"/>
    <row r="36" ht="15.75" customHeight="1" s="23"/>
    <row r="37" ht="15.75" customHeight="1" s="23"/>
    <row r="38" ht="15.75" customHeight="1" s="23"/>
    <row r="39" ht="15.75" customHeight="1" s="23"/>
    <row r="40" ht="15.75" customHeight="1" s="23"/>
    <row r="41" ht="15.75" customHeight="1" s="23"/>
    <row r="42" ht="15.75" customHeight="1" s="23"/>
    <row r="43" ht="15.75" customHeight="1" s="23"/>
    <row r="44" ht="15.75" customHeight="1" s="23"/>
    <row r="45" ht="15.75" customHeight="1" s="23"/>
    <row r="46" ht="15.75" customHeight="1" s="23"/>
    <row r="47" ht="15.75" customHeight="1" s="23"/>
    <row r="48" ht="15.75" customHeight="1" s="23"/>
    <row r="49" ht="15.75" customHeight="1" s="23"/>
    <row r="50" ht="15.75" customHeight="1" s="23"/>
    <row r="51" ht="15.75" customHeight="1" s="23"/>
    <row r="52" ht="15.75" customHeight="1" s="23"/>
    <row r="53" ht="15.75" customHeight="1" s="23"/>
    <row r="54" ht="15.75" customHeight="1" s="23"/>
    <row r="55" ht="15.75" customHeight="1" s="23"/>
    <row r="56" ht="15.75" customHeight="1" s="23"/>
    <row r="57" ht="15.75" customHeight="1" s="23"/>
    <row r="58" ht="15.75" customHeight="1" s="23"/>
    <row r="59" ht="15.75" customHeight="1" s="23"/>
    <row r="60" ht="15.75" customHeight="1" s="23"/>
    <row r="61" ht="15.75" customHeight="1" s="23"/>
    <row r="62" ht="15.75" customHeight="1" s="23"/>
    <row r="63" ht="15.75" customHeight="1" s="23"/>
    <row r="64" ht="15.75" customHeight="1" s="23"/>
    <row r="65" ht="15.75" customHeight="1" s="23"/>
    <row r="66" ht="15.75" customHeight="1" s="23"/>
    <row r="67" ht="15.75" customHeight="1" s="23"/>
    <row r="68" ht="15.75" customHeight="1" s="23"/>
    <row r="69" ht="15.75" customHeight="1" s="23"/>
    <row r="70" ht="15.75" customHeight="1" s="23"/>
    <row r="71" ht="15.75" customHeight="1" s="23"/>
    <row r="72" ht="15.75" customHeight="1" s="23"/>
    <row r="73" ht="15.75" customHeight="1" s="23"/>
    <row r="74" ht="15.75" customHeight="1" s="23"/>
    <row r="75" ht="15.75" customHeight="1" s="23"/>
    <row r="76" ht="15.75" customHeight="1" s="23"/>
    <row r="77" ht="15.75" customHeight="1" s="23"/>
    <row r="78" ht="15.75" customHeight="1" s="23"/>
    <row r="79" ht="15.75" customHeight="1" s="23"/>
    <row r="80" ht="15.75" customHeight="1" s="23"/>
    <row r="81" ht="15.75" customHeight="1" s="23"/>
    <row r="82" ht="15.75" customHeight="1" s="23"/>
    <row r="83" ht="15.75" customHeight="1" s="23"/>
    <row r="84" ht="15.75" customHeight="1" s="23"/>
    <row r="85" ht="15.75" customHeight="1" s="23"/>
    <row r="86" ht="15.75" customHeight="1" s="23"/>
    <row r="87" ht="15.75" customHeight="1" s="23"/>
    <row r="88" ht="15.75" customHeight="1" s="23"/>
    <row r="89" ht="15.75" customHeight="1" s="23"/>
    <row r="90" ht="15.75" customHeight="1" s="23"/>
    <row r="91" ht="15.75" customHeight="1" s="23"/>
    <row r="92" ht="15.75" customHeight="1" s="23"/>
    <row r="93" ht="15.75" customHeight="1" s="23"/>
    <row r="94" ht="15.75" customHeight="1" s="23"/>
    <row r="95" ht="15.75" customHeight="1" s="23"/>
    <row r="96" ht="15.75" customHeight="1" s="23"/>
    <row r="97" ht="15.75" customHeight="1" s="23"/>
    <row r="98" ht="15.75" customHeight="1" s="23"/>
    <row r="99" ht="15.75" customHeight="1" s="23"/>
    <row r="100" ht="15.75" customHeight="1" s="23"/>
  </sheetData>
  <mergeCells count="5">
    <mergeCell ref="A1:G1"/>
    <mergeCell ref="A3:G3"/>
    <mergeCell ref="A6:G6"/>
    <mergeCell ref="A2:G2"/>
    <mergeCell ref="A10:G10"/>
  </mergeCell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style="23" min="1" max="1"/>
  </cols>
  <sheetData>
    <row r="1">
      <c r="A1" s="32" t="inlineStr">
        <is>
          <t>Narrative Alignment &amp; Budget Framework Notes</t>
        </is>
      </c>
    </row>
    <row r="3">
      <c r="A3" t="inlineStr">
        <is>
          <t>Institutional leadership allocations were intentionally reduced to demonstrate institutional investment and sustainability.</t>
        </is>
      </c>
    </row>
    <row r="4">
      <c r="A4" t="inlineStr">
        <is>
          <t>Core operational positions are fully grant-funded to support implementation capacity.</t>
        </is>
      </c>
    </row>
    <row r="5">
      <c r="A5" t="inlineStr">
        <is>
          <t>Budget categories were rebuilt to align with the revised personnel model and partnership ecosystem.</t>
        </is>
      </c>
    </row>
    <row r="6">
      <c r="A6" t="inlineStr">
        <is>
          <t>The Sixth Episcopal District and Salvation and Social Justice are integrated into the partnership framework.</t>
        </is>
      </c>
    </row>
    <row r="7">
      <c r="A7" t="inlineStr">
        <is>
          <t>Budget structure reflects Christian practices, evaluation, dissemination, sustainability, and replication priorities.</t>
        </is>
      </c>
    </row>
    <row r="8">
      <c r="A8" t="inlineStr">
        <is>
          <t>Indirect costs are maintained at 6% in alignment with Lilly Endowment guidance.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2026-05-16T18:17:46Z</dcterms:created>
  <dcterms:modified xmlns:dcterms="http://purl.org/dc/terms/" xmlns:xsi="http://www.w3.org/2001/XMLSchema-instance" xsi:type="dcterms:W3CDTF">2026-05-16T21:50:51Z</dcterms:modified>
  <cp:lastModifiedBy>Aliman Neal</cp:lastModifiedBy>
  <cp:revision>0</cp:revision>
</cp:coreProperties>
</file>